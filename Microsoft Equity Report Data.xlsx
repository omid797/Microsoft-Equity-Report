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mid_797/Downloads/"/>
    </mc:Choice>
  </mc:AlternateContent>
  <xr:revisionPtr revIDLastSave="0" documentId="8_{F0768689-BADE-1642-8E32-3D5AB09AAE2A}" xr6:coauthVersionLast="47" xr6:coauthVersionMax="47" xr10:uidLastSave="{00000000-0000-0000-0000-000000000000}"/>
  <bookViews>
    <workbookView xWindow="14580" yWindow="520" windowWidth="13420" windowHeight="16640" firstSheet="5" activeTab="7" xr2:uid="{1262D71F-B4BF-8A41-B721-FFB7CC84F637}"/>
  </bookViews>
  <sheets>
    <sheet name="Company Information" sheetId="1" r:id="rId1"/>
    <sheet name="Executive Summary" sheetId="2" r:id="rId2"/>
    <sheet name="Financial Statements" sheetId="3" r:id="rId3"/>
    <sheet name="Key Financial Ratios &amp; Metrics" sheetId="4" r:id="rId4"/>
    <sheet name="Growth Rate &amp; Projections" sheetId="5" r:id="rId5"/>
    <sheet name="DCF" sheetId="6" r:id="rId6"/>
    <sheet name="Pay Benchmarking" sheetId="9" r:id="rId7"/>
    <sheet name="Comparable Companies Analysi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9" l="1"/>
  <c r="I4" i="9"/>
  <c r="D3" i="9"/>
  <c r="J3" i="9"/>
  <c r="J4" i="9" s="1"/>
  <c r="J5" i="9" s="1"/>
  <c r="J6" i="9" s="1"/>
  <c r="J7" i="9" s="1"/>
  <c r="J8" i="9" s="1"/>
  <c r="J9" i="9" s="1"/>
  <c r="J10" i="9" s="1"/>
  <c r="J11" i="9" s="1"/>
  <c r="J12" i="9" s="1"/>
  <c r="G54" i="6"/>
  <c r="F54" i="6"/>
  <c r="E54" i="6"/>
  <c r="D54" i="6"/>
  <c r="C54" i="6"/>
  <c r="B54" i="6"/>
  <c r="E41" i="6"/>
  <c r="J41" i="6"/>
  <c r="I41" i="6"/>
  <c r="H41" i="6"/>
  <c r="G41" i="6"/>
  <c r="F41" i="6"/>
  <c r="J38" i="6"/>
  <c r="J39" i="6" s="1"/>
  <c r="J40" i="6" s="1"/>
  <c r="I38" i="6"/>
  <c r="H38" i="6"/>
  <c r="H39" i="6" s="1"/>
  <c r="G38" i="6"/>
  <c r="G39" i="6" s="1"/>
  <c r="F38" i="6"/>
  <c r="F39" i="6" s="1"/>
  <c r="E38" i="6"/>
  <c r="E39" i="6" s="1"/>
  <c r="D38" i="6"/>
  <c r="D39" i="6" s="1"/>
  <c r="C38" i="6"/>
  <c r="C39" i="6" s="1"/>
  <c r="B38" i="6"/>
  <c r="B39" i="6" s="1"/>
  <c r="B40" i="6" s="1"/>
  <c r="D22" i="6"/>
  <c r="D41" i="6" s="1"/>
  <c r="C22" i="6"/>
  <c r="C41" i="6" s="1"/>
  <c r="B22" i="6"/>
  <c r="B41" i="6" s="1"/>
  <c r="G5" i="5"/>
  <c r="B2" i="2"/>
  <c r="B44" i="6" l="1"/>
  <c r="J44" i="6"/>
  <c r="G53" i="6" s="1"/>
  <c r="G57" i="6" s="1"/>
  <c r="G59" i="6" s="1"/>
  <c r="I39" i="6"/>
  <c r="I40" i="6" s="1"/>
  <c r="I44" i="6" s="1"/>
  <c r="F53" i="6" s="1"/>
  <c r="F57" i="6" s="1"/>
  <c r="F59" i="6" s="1"/>
  <c r="C40" i="6"/>
  <c r="C44" i="6" s="1"/>
  <c r="D40" i="6"/>
  <c r="D44" i="6" s="1"/>
  <c r="E40" i="6"/>
  <c r="E44" i="6" s="1"/>
  <c r="B53" i="6" s="1"/>
  <c r="B57" i="6" s="1"/>
  <c r="F40" i="6"/>
  <c r="F44" i="6" s="1"/>
  <c r="C53" i="6" s="1"/>
  <c r="C57" i="6" s="1"/>
  <c r="C59" i="6" s="1"/>
  <c r="G40" i="6"/>
  <c r="G44" i="6" s="1"/>
  <c r="D53" i="6" s="1"/>
  <c r="D57" i="6" s="1"/>
  <c r="D59" i="6" s="1"/>
  <c r="H40" i="6"/>
  <c r="H44" i="6" s="1"/>
  <c r="E53" i="6" s="1"/>
  <c r="E57" i="6" s="1"/>
  <c r="E59" i="6" s="1"/>
  <c r="B69" i="6" l="1"/>
  <c r="B71" i="6" s="1"/>
  <c r="B76" i="6" s="1"/>
  <c r="B59" i="6"/>
  <c r="B83" i="6" l="1"/>
  <c r="B85" i="6" s="1"/>
  <c r="B90" i="6" s="1"/>
  <c r="B78" i="6"/>
</calcChain>
</file>

<file path=xl/sharedStrings.xml><?xml version="1.0" encoding="utf-8"?>
<sst xmlns="http://schemas.openxmlformats.org/spreadsheetml/2006/main" count="693" uniqueCount="621">
  <si>
    <t>Metric</t>
  </si>
  <si>
    <t xml:space="preserve">Stock Ticker </t>
  </si>
  <si>
    <t>Column1</t>
  </si>
  <si>
    <t xml:space="preserve">Metric </t>
  </si>
  <si>
    <t xml:space="preserve">Value </t>
  </si>
  <si>
    <t>MSFT</t>
  </si>
  <si>
    <t xml:space="preserve">Company Name </t>
  </si>
  <si>
    <t>Microsoft Corporation</t>
  </si>
  <si>
    <t>Exchange</t>
  </si>
  <si>
    <t>NASDAQ</t>
  </si>
  <si>
    <t>Current Share Price (as of 5/12/25)</t>
  </si>
  <si>
    <t>$483.16</t>
  </si>
  <si>
    <t>Shares Outstanding</t>
  </si>
  <si>
    <t>7.43 Billion</t>
  </si>
  <si>
    <t>CEO</t>
  </si>
  <si>
    <t>Satya Nadella</t>
  </si>
  <si>
    <t xml:space="preserve">Fiscal Year End </t>
  </si>
  <si>
    <t>Revenue</t>
  </si>
  <si>
    <t>Report Date</t>
  </si>
  <si>
    <t>Target Price</t>
  </si>
  <si>
    <t>Sector</t>
  </si>
  <si>
    <t>Technology</t>
  </si>
  <si>
    <t>Analyst</t>
  </si>
  <si>
    <t>Omid Omarkhil</t>
  </si>
  <si>
    <t>Key Metrics:</t>
  </si>
  <si>
    <t>Summary Information:</t>
  </si>
  <si>
    <t>Market Cap</t>
  </si>
  <si>
    <t>3.55 Trillion</t>
  </si>
  <si>
    <t>Forward P/E</t>
  </si>
  <si>
    <t>P/FCF</t>
  </si>
  <si>
    <t>Beta</t>
  </si>
  <si>
    <t>P/E (TTM)</t>
  </si>
  <si>
    <t>EBITDA</t>
  </si>
  <si>
    <t>166.44 Billion</t>
  </si>
  <si>
    <t xml:space="preserve">Dividend Yield </t>
  </si>
  <si>
    <t>Financial Health:</t>
  </si>
  <si>
    <t>Debt/Equity</t>
  </si>
  <si>
    <t>FCF Margin</t>
  </si>
  <si>
    <t>Current Ratio</t>
  </si>
  <si>
    <t>ROIC</t>
  </si>
  <si>
    <t>Segment Mix(TTM):</t>
  </si>
  <si>
    <t>Intelligent Cloud</t>
  </si>
  <si>
    <t>Productivity &amp; BP</t>
  </si>
  <si>
    <t xml:space="preserve">Revenue </t>
  </si>
  <si>
    <t>YoY Growth %</t>
  </si>
  <si>
    <t>Cost of Revenue</t>
  </si>
  <si>
    <t>Gross Profit</t>
  </si>
  <si>
    <t>Gross Margin %</t>
  </si>
  <si>
    <t>Operating Margin</t>
  </si>
  <si>
    <t>Net Margin</t>
  </si>
  <si>
    <t>Operating Income</t>
  </si>
  <si>
    <t>Other Income</t>
  </si>
  <si>
    <t>Income Before Taxes</t>
  </si>
  <si>
    <t>Provision for Income Taxes</t>
  </si>
  <si>
    <t>Net Income</t>
  </si>
  <si>
    <t>Research &amp; Development Expenses</t>
  </si>
  <si>
    <t>Sales &amp; Marketing Expenses</t>
  </si>
  <si>
    <t>General &amp; Administrative Expenses</t>
  </si>
  <si>
    <t>Revenue Breakdown by Segment:</t>
  </si>
  <si>
    <t>Balance Sheet:</t>
  </si>
  <si>
    <t>Assets:</t>
  </si>
  <si>
    <t>Total Current Assets</t>
  </si>
  <si>
    <t>Property &amp; Equipment, Net</t>
  </si>
  <si>
    <t>Goodwill</t>
  </si>
  <si>
    <t>Intangible Assets</t>
  </si>
  <si>
    <t>Liabilities &amp; Equity:</t>
  </si>
  <si>
    <t>Total Current Liabilities</t>
  </si>
  <si>
    <t>Long-term Debt</t>
  </si>
  <si>
    <t>Total Liabilities</t>
  </si>
  <si>
    <t>Interest Expenses</t>
  </si>
  <si>
    <t>Total Assets</t>
  </si>
  <si>
    <t>$46,078M</t>
  </si>
  <si>
    <t>$96,937M</t>
  </si>
  <si>
    <t>$143,015M</t>
  </si>
  <si>
    <t>$52,959M</t>
  </si>
  <si>
    <t>$20,716M</t>
  </si>
  <si>
    <t>$301,311M</t>
  </si>
  <si>
    <t>$59,578M</t>
  </si>
  <si>
    <t>$5,111M</t>
  </si>
  <si>
    <t>$44,281M</t>
  </si>
  <si>
    <t>Earnings Per Share (Diluted)</t>
  </si>
  <si>
    <t>$118,304M</t>
  </si>
  <si>
    <t>$77M</t>
  </si>
  <si>
    <t>$8,755M</t>
  </si>
  <si>
    <t>$53,036M</t>
  </si>
  <si>
    <t>$181,915M</t>
  </si>
  <si>
    <t>$44,151M</t>
  </si>
  <si>
    <t>$43,351M</t>
  </si>
  <si>
    <t>$7,038M</t>
  </si>
  <si>
    <t>$72,310M</t>
  </si>
  <si>
    <t>$183,007M</t>
  </si>
  <si>
    <t>$2,591M</t>
  </si>
  <si>
    <t>$69,916M</t>
  </si>
  <si>
    <t>$168,088M</t>
  </si>
  <si>
    <t>$115,856M</t>
  </si>
  <si>
    <t>$61,271M</t>
  </si>
  <si>
    <t>$19,269M</t>
  </si>
  <si>
    <t>$19,598M</t>
  </si>
  <si>
    <t>$20,117M</t>
  </si>
  <si>
    <t>$5,107M</t>
  </si>
  <si>
    <t>$2,346M</t>
  </si>
  <si>
    <t xml:space="preserve">Interest and Dividends Income </t>
  </si>
  <si>
    <t>$2,680M</t>
  </si>
  <si>
    <t>$2,131M</t>
  </si>
  <si>
    <t xml:space="preserve">$5.76 </t>
  </si>
  <si>
    <t>$52,232M</t>
  </si>
  <si>
    <t>$184,406M</t>
  </si>
  <si>
    <t>$59,715M</t>
  </si>
  <si>
    <t>$49,711M</t>
  </si>
  <si>
    <t>$7,800M</t>
  </si>
  <si>
    <t>$333,779M</t>
  </si>
  <si>
    <t>$88,657M</t>
  </si>
  <si>
    <t>$50,074M</t>
  </si>
  <si>
    <t>$191,791M</t>
  </si>
  <si>
    <t>$141,988M</t>
  </si>
  <si>
    <t>$198,270M</t>
  </si>
  <si>
    <t>$83,383M</t>
  </si>
  <si>
    <t>$135,620M</t>
  </si>
  <si>
    <t>$8.05</t>
  </si>
  <si>
    <t>$9.65</t>
  </si>
  <si>
    <t>$24,512M</t>
  </si>
  <si>
    <t>$21,825M</t>
  </si>
  <si>
    <t>$5,900M</t>
  </si>
  <si>
    <t>$2,094M</t>
  </si>
  <si>
    <t>$2,063M</t>
  </si>
  <si>
    <t>$72,738M</t>
  </si>
  <si>
    <t>$333M</t>
  </si>
  <si>
    <t>$71,102M</t>
  </si>
  <si>
    <t>$83,716M</t>
  </si>
  <si>
    <t>$9,831M</t>
  </si>
  <si>
    <t>$10,978M</t>
  </si>
  <si>
    <t>$62,650M</t>
  </si>
  <si>
    <t>$169,684M</t>
  </si>
  <si>
    <t>$74,398M</t>
  </si>
  <si>
    <t>$67,524M</t>
  </si>
  <si>
    <t>$11,298M</t>
  </si>
  <si>
    <t>$364,840M</t>
  </si>
  <si>
    <t>$95,082M</t>
  </si>
  <si>
    <t>$47,032M</t>
  </si>
  <si>
    <t>$198,298M</t>
  </si>
  <si>
    <t>$166,542M</t>
  </si>
  <si>
    <t>$211,915M</t>
  </si>
  <si>
    <t>$65,863M</t>
  </si>
  <si>
    <t>$88,523M</t>
  </si>
  <si>
    <t>$788M</t>
  </si>
  <si>
    <t>$89,311M</t>
  </si>
  <si>
    <t>$16,950M</t>
  </si>
  <si>
    <t>$72,361M</t>
  </si>
  <si>
    <t>$9.68</t>
  </si>
  <si>
    <t>$146,052M</t>
  </si>
  <si>
    <t>$27,195M</t>
  </si>
  <si>
    <t>$22,759M</t>
  </si>
  <si>
    <t>$7,575M</t>
  </si>
  <si>
    <t>$184,257M</t>
  </si>
  <si>
    <t>$95,641M</t>
  </si>
  <si>
    <t>$67,886M</t>
  </si>
  <si>
    <t>$9,366M</t>
  </si>
  <si>
    <t>$411,976M</t>
  </si>
  <si>
    <t>$104,149M</t>
  </si>
  <si>
    <t>$41,990M</t>
  </si>
  <si>
    <t>$205,753M</t>
  </si>
  <si>
    <t>$206,223M</t>
  </si>
  <si>
    <t>$15,465M</t>
  </si>
  <si>
    <t>$245,122M</t>
  </si>
  <si>
    <t>$109,433M</t>
  </si>
  <si>
    <t>$11.80</t>
  </si>
  <si>
    <t>$88,136M</t>
  </si>
  <si>
    <t>$171,008M</t>
  </si>
  <si>
    <t>$29,510M</t>
  </si>
  <si>
    <t>$24,456M</t>
  </si>
  <si>
    <t>$7,609M</t>
  </si>
  <si>
    <t>$3,157M</t>
  </si>
  <si>
    <t>$2,994M</t>
  </si>
  <si>
    <t>$1,968M</t>
  </si>
  <si>
    <t>$2,935M</t>
  </si>
  <si>
    <t>$1,646M</t>
  </si>
  <si>
    <t>$74,114M</t>
  </si>
  <si>
    <t>$107,787M</t>
  </si>
  <si>
    <t>$19,651M</t>
  </si>
  <si>
    <t>$159,734M</t>
  </si>
  <si>
    <t>$135,591M</t>
  </si>
  <si>
    <t>$119,220M</t>
  </si>
  <si>
    <t>$27,597M</t>
  </si>
  <si>
    <t>$512,163M</t>
  </si>
  <si>
    <t>$125,286M</t>
  </si>
  <si>
    <t>$42,688M</t>
  </si>
  <si>
    <t>$243,686M</t>
  </si>
  <si>
    <t>$268,477M</t>
  </si>
  <si>
    <t>$281,724M</t>
  </si>
  <si>
    <t>$193,893M</t>
  </si>
  <si>
    <t>$101,832M</t>
  </si>
  <si>
    <t>$32,488M</t>
  </si>
  <si>
    <t>$25,654M</t>
  </si>
  <si>
    <t>$7,223M</t>
  </si>
  <si>
    <t>$2,647M</t>
  </si>
  <si>
    <t>$2,385M</t>
  </si>
  <si>
    <t>$87,831M</t>
  </si>
  <si>
    <t>$123,627M</t>
  </si>
  <si>
    <t>$21,795M</t>
  </si>
  <si>
    <t>$191,131M</t>
  </si>
  <si>
    <t>$204,966M</t>
  </si>
  <si>
    <t>$119,509M</t>
  </si>
  <si>
    <t>$22,604M</t>
  </si>
  <si>
    <t>$619,003M</t>
  </si>
  <si>
    <t>$141,218M</t>
  </si>
  <si>
    <t>$40,152M</t>
  </si>
  <si>
    <t>$275,524M</t>
  </si>
  <si>
    <t>$343,479M</t>
  </si>
  <si>
    <t>Productivity &amp; Business Processes</t>
  </si>
  <si>
    <t>More Personal Computing</t>
  </si>
  <si>
    <t>Cash Flow Statement:</t>
  </si>
  <si>
    <t>Depreciation &amp; Amortisation</t>
  </si>
  <si>
    <t>Stock-Based Compensation</t>
  </si>
  <si>
    <t>Changes in Working Capital</t>
  </si>
  <si>
    <t>Operating Cash Flow (OCF)</t>
  </si>
  <si>
    <t>Capital Expenditures (CapEx)</t>
  </si>
  <si>
    <t>Free Cash Flow (OCF - CapEX)</t>
  </si>
  <si>
    <t>Dividend Payments</t>
  </si>
  <si>
    <t>Share Repurchases</t>
  </si>
  <si>
    <t>Net Change in Cash</t>
  </si>
  <si>
    <t>$46,398M</t>
  </si>
  <si>
    <t>$48,366M</t>
  </si>
  <si>
    <t>$48,251M</t>
  </si>
  <si>
    <t>$69,274M</t>
  </si>
  <si>
    <t>$87,907M</t>
  </si>
  <si>
    <t>$54,734M</t>
  </si>
  <si>
    <t>$63,364M</t>
  </si>
  <si>
    <t>$74,965M</t>
  </si>
  <si>
    <t>$59,941M</t>
  </si>
  <si>
    <t>$53,915M</t>
  </si>
  <si>
    <t>$60,080M</t>
  </si>
  <si>
    <t>$54,093M</t>
  </si>
  <si>
    <t>$77,728M</t>
  </si>
  <si>
    <t>$105,362M</t>
  </si>
  <si>
    <t>$62,032M</t>
  </si>
  <si>
    <t>$12,796M</t>
  </si>
  <si>
    <t>$5,289M</t>
  </si>
  <si>
    <t>$16,521M</t>
  </si>
  <si>
    <t>$15,137M</t>
  </si>
  <si>
    <t>$27,385M</t>
  </si>
  <si>
    <t>$22,968M</t>
  </si>
  <si>
    <t>$648M</t>
  </si>
  <si>
    <t>$15,441M</t>
  </si>
  <si>
    <t>$20,622M</t>
  </si>
  <si>
    <t>$76,740M</t>
  </si>
  <si>
    <t>$60,675M</t>
  </si>
  <si>
    <t>$45,234M</t>
  </si>
  <si>
    <t>$56,118M</t>
  </si>
  <si>
    <t>$11,686M</t>
  </si>
  <si>
    <t>$6,118M</t>
  </si>
  <si>
    <t>$14,460M</t>
  </si>
  <si>
    <t>$7,502M</t>
  </si>
  <si>
    <t>$89,035M</t>
  </si>
  <si>
    <t>$23,886M</t>
  </si>
  <si>
    <t>$65,149M</t>
  </si>
  <si>
    <t>$18,135M</t>
  </si>
  <si>
    <t>$19,800M</t>
  </si>
  <si>
    <t>$32,696M</t>
  </si>
  <si>
    <t>$22,245M</t>
  </si>
  <si>
    <t>$293M</t>
  </si>
  <si>
    <t>$20,773M</t>
  </si>
  <si>
    <t>$13,861M</t>
  </si>
  <si>
    <t>$9,611M</t>
  </si>
  <si>
    <t>$87,582M</t>
  </si>
  <si>
    <t>$28,107M</t>
  </si>
  <si>
    <t>$59,475M</t>
  </si>
  <si>
    <t>$22,287M</t>
  </si>
  <si>
    <t>$10,734M</t>
  </si>
  <si>
    <t>$118,548M</t>
  </si>
  <si>
    <t>$44,477M</t>
  </si>
  <si>
    <t>$74,071M</t>
  </si>
  <si>
    <t>$21,771M</t>
  </si>
  <si>
    <t>$17,254M</t>
  </si>
  <si>
    <t>$16,389M</t>
  </si>
  <si>
    <t>2020</t>
  </si>
  <si>
    <t>2021</t>
  </si>
  <si>
    <t>2022</t>
  </si>
  <si>
    <t>2023</t>
  </si>
  <si>
    <t>2024</t>
  </si>
  <si>
    <t>Metrics</t>
  </si>
  <si>
    <t>Gross margin %</t>
  </si>
  <si>
    <t>Operating Margin %</t>
  </si>
  <si>
    <t>Net Margin %</t>
  </si>
  <si>
    <t>Return on Equity</t>
  </si>
  <si>
    <t>Return on Assets</t>
  </si>
  <si>
    <t>Profitability Ratios:</t>
  </si>
  <si>
    <t>Liquidity &amp; Efficiency:</t>
  </si>
  <si>
    <t>Quick Ratio</t>
  </si>
  <si>
    <t>Days Sales Outstanding</t>
  </si>
  <si>
    <t>Inventory Turnover</t>
  </si>
  <si>
    <t>Leverage Ratios:</t>
  </si>
  <si>
    <t>Debt-to-Equity Ratio</t>
  </si>
  <si>
    <t>Debt-to-EBITDA</t>
  </si>
  <si>
    <t>Interest Coverage Ratio</t>
  </si>
  <si>
    <t>Valuation Multiples:</t>
  </si>
  <si>
    <t>P/E Ratio (TTM)</t>
  </si>
  <si>
    <t>Price/Sales</t>
  </si>
  <si>
    <t>Price/Book</t>
  </si>
  <si>
    <t>EV/EBITDA</t>
  </si>
  <si>
    <t>P/FCF (Price to Free Cash Flow)</t>
  </si>
  <si>
    <t>Dividend Yield</t>
  </si>
  <si>
    <t>Inventories</t>
  </si>
  <si>
    <t>$1,895M</t>
  </si>
  <si>
    <t>$3,742M</t>
  </si>
  <si>
    <t>$2,636M</t>
  </si>
  <si>
    <t>$2,500M</t>
  </si>
  <si>
    <t>$1,246M</t>
  </si>
  <si>
    <t>Accounts Receivable</t>
  </si>
  <si>
    <t>$32,011M</t>
  </si>
  <si>
    <t>$44,261M</t>
  </si>
  <si>
    <t>$38,043M</t>
  </si>
  <si>
    <t>$56,924M</t>
  </si>
  <si>
    <t>$46,688M</t>
  </si>
  <si>
    <t xml:space="preserve">Shares Outstanding </t>
  </si>
  <si>
    <t>$7,610M</t>
  </si>
  <si>
    <t>$7,496M</t>
  </si>
  <si>
    <t>$7,547M</t>
  </si>
  <si>
    <t>$7,431M</t>
  </si>
  <si>
    <t>$7,446M</t>
  </si>
  <si>
    <t>Stock Price (At FY End)</t>
  </si>
  <si>
    <t>$203.51</t>
  </si>
  <si>
    <t>$270.90</t>
  </si>
  <si>
    <t>$258.63</t>
  </si>
  <si>
    <t>$340.54</t>
  </si>
  <si>
    <t>$446.95</t>
  </si>
  <si>
    <t>$1,548,635M</t>
  </si>
  <si>
    <t>$2,044,482M</t>
  </si>
  <si>
    <t>$1,938,690M</t>
  </si>
  <si>
    <t>$2,535,660M</t>
  </si>
  <si>
    <t>$3,321,285M</t>
  </si>
  <si>
    <t>$68,423M</t>
  </si>
  <si>
    <t>$85,134M</t>
  </si>
  <si>
    <t>$100,239M</t>
  </si>
  <si>
    <t>$105,140M</t>
  </si>
  <si>
    <t>$133,009M</t>
  </si>
  <si>
    <t>Short-term Investments</t>
  </si>
  <si>
    <t>$122,951M</t>
  </si>
  <si>
    <t>$90,826M</t>
  </si>
  <si>
    <t>$57,228M</t>
  </si>
  <si>
    <t>$76,558M</t>
  </si>
  <si>
    <t>Cash and Cash Equivalents</t>
  </si>
  <si>
    <t>$18,315M</t>
  </si>
  <si>
    <t>$34,704M</t>
  </si>
  <si>
    <t>$13,931M</t>
  </si>
  <si>
    <t>$14,224M</t>
  </si>
  <si>
    <t>$13,576M</t>
  </si>
  <si>
    <t>Total Debt</t>
  </si>
  <si>
    <t>$63,327M</t>
  </si>
  <si>
    <t>$49,781M</t>
  </si>
  <si>
    <t>$58,146M</t>
  </si>
  <si>
    <t>$44,937M</t>
  </si>
  <si>
    <t>$47,237M</t>
  </si>
  <si>
    <t>Enterprise Value</t>
  </si>
  <si>
    <t>$1,598,386M</t>
  </si>
  <si>
    <t>$2,088,404M</t>
  </si>
  <si>
    <t>$1,974,540M</t>
  </si>
  <si>
    <t>$2,548,193M</t>
  </si>
  <si>
    <t>$3,347,907M</t>
  </si>
  <si>
    <t>$2.04</t>
  </si>
  <si>
    <t>$2.48</t>
  </si>
  <si>
    <t>$2.24</t>
  </si>
  <si>
    <t>$3</t>
  </si>
  <si>
    <t>$2.72</t>
  </si>
  <si>
    <t>Historical CAGR:</t>
  </si>
  <si>
    <t>Revenue Growth</t>
  </si>
  <si>
    <t>Analyst Estimates:</t>
  </si>
  <si>
    <t>Next Year EPS Estimate</t>
  </si>
  <si>
    <t xml:space="preserve">Long-term Growth Rate </t>
  </si>
  <si>
    <t>Free Cash Flow Growth</t>
  </si>
  <si>
    <t>Next Year Revenue Estimate</t>
  </si>
  <si>
    <t>My estimate for FY2026 is a revenue of around $338 - $340 billion</t>
  </si>
  <si>
    <t xml:space="preserve">My estimate for FY2026 is an EPS $17 - $17.2 per share </t>
  </si>
  <si>
    <t>2025</t>
  </si>
  <si>
    <t>$497.41</t>
  </si>
  <si>
    <t>$128,528M</t>
  </si>
  <si>
    <t>$4,725M</t>
  </si>
  <si>
    <t>$34,153M</t>
  </si>
  <si>
    <t>$160,165M</t>
  </si>
  <si>
    <t>$13.64</t>
  </si>
  <si>
    <t>$3.32</t>
  </si>
  <si>
    <t>Cash Dividend Per Share</t>
  </si>
  <si>
    <t>$7,433M</t>
  </si>
  <si>
    <t>$3,697,248M</t>
  </si>
  <si>
    <t>$120,810M</t>
  </si>
  <si>
    <t>$106,265M</t>
  </si>
  <si>
    <t>$54,649M</t>
  </si>
  <si>
    <t>$64,323M</t>
  </si>
  <si>
    <t>$30,242M</t>
  </si>
  <si>
    <t>$11,974M</t>
  </si>
  <si>
    <t>$136,162M</t>
  </si>
  <si>
    <t>$64,551M</t>
  </si>
  <si>
    <t>$71,611M</t>
  </si>
  <si>
    <t>$18,420M</t>
  </si>
  <si>
    <t>$11,927M</t>
  </si>
  <si>
    <t>$24,082M</t>
  </si>
  <si>
    <t>Working Capital</t>
  </si>
  <si>
    <t>$109,605M</t>
  </si>
  <si>
    <t>$95,749M</t>
  </si>
  <si>
    <t>$74,602M</t>
  </si>
  <si>
    <t>$80,108M</t>
  </si>
  <si>
    <t>$34,448M</t>
  </si>
  <si>
    <t>$49,913M</t>
  </si>
  <si>
    <t>$3,473M</t>
  </si>
  <si>
    <t>$-13,856M</t>
  </si>
  <si>
    <t>$-21,147M</t>
  </si>
  <si>
    <t>$5,506M</t>
  </si>
  <si>
    <t>$-45,660M</t>
  </si>
  <si>
    <t>$69,905M</t>
  </si>
  <si>
    <t>$938M</t>
  </si>
  <si>
    <t>$43,151M</t>
  </si>
  <si>
    <t>$3,710,157M</t>
  </si>
  <si>
    <t>$110,317M</t>
  </si>
  <si>
    <t>$130,146M</t>
  </si>
  <si>
    <t>$154,265M</t>
  </si>
  <si>
    <t>$186,383M</t>
  </si>
  <si>
    <t>$237,350M</t>
  </si>
  <si>
    <t>$305,978M</t>
  </si>
  <si>
    <t>Effective Tax Rate</t>
  </si>
  <si>
    <t>Net Operating Profit After Tax</t>
  </si>
  <si>
    <t>EBIT</t>
  </si>
  <si>
    <t>Invested Capital</t>
  </si>
  <si>
    <t>$168,055M</t>
  </si>
  <si>
    <t>$185,910M</t>
  </si>
  <si>
    <t>$202,482M</t>
  </si>
  <si>
    <t>$218,756M</t>
  </si>
  <si>
    <t>$295,099M</t>
  </si>
  <si>
    <t>$356,388M</t>
  </si>
  <si>
    <t>$44,221M</t>
  </si>
  <si>
    <t>$60,268M</t>
  </si>
  <si>
    <t>$72,156M</t>
  </si>
  <si>
    <t>$71,704M</t>
  </si>
  <si>
    <t>$89,516M</t>
  </si>
  <si>
    <t>$105,907M</t>
  </si>
  <si>
    <t xml:space="preserve">Average Inventories </t>
  </si>
  <si>
    <t>$2,266M</t>
  </si>
  <si>
    <t>$3,189M</t>
  </si>
  <si>
    <t>$3,121M</t>
  </si>
  <si>
    <t>$1,873M</t>
  </si>
  <si>
    <t>$1,092M</t>
  </si>
  <si>
    <t>$1,979M</t>
  </si>
  <si>
    <t>Income Statement:</t>
  </si>
  <si>
    <t>COGS</t>
  </si>
  <si>
    <t>SG&amp;A</t>
  </si>
  <si>
    <t>SG&amp;A  (% of Revenue)</t>
  </si>
  <si>
    <t>COGS (% of Revenue)</t>
  </si>
  <si>
    <t>Tax Depreciation</t>
  </si>
  <si>
    <t xml:space="preserve">Operating Profit </t>
  </si>
  <si>
    <t>Tax Rate</t>
  </si>
  <si>
    <t>Current Tax</t>
  </si>
  <si>
    <t>Year -2</t>
  </si>
  <si>
    <t>Year -1</t>
  </si>
  <si>
    <t>Year 0</t>
  </si>
  <si>
    <t>Year 1</t>
  </si>
  <si>
    <t>Year 2</t>
  </si>
  <si>
    <t>Year 3</t>
  </si>
  <si>
    <t xml:space="preserve">Year 4 </t>
  </si>
  <si>
    <t xml:space="preserve">Year 5 </t>
  </si>
  <si>
    <t>All figures in USD and millions</t>
  </si>
  <si>
    <t>Earnings Per Share Growth</t>
  </si>
  <si>
    <t>$24,389M</t>
  </si>
  <si>
    <t>$23,009M</t>
  </si>
  <si>
    <t>$16,680M</t>
  </si>
  <si>
    <t>Current Taxes</t>
  </si>
  <si>
    <t>$9,981M</t>
  </si>
  <si>
    <t>$8,744M</t>
  </si>
  <si>
    <t>$28,851M</t>
  </si>
  <si>
    <t>Term</t>
  </si>
  <si>
    <t>Unlevered Free Cash Flow Schedule:</t>
  </si>
  <si>
    <t>Unlevered Free Cash Flow</t>
  </si>
  <si>
    <t>NOPAT</t>
  </si>
  <si>
    <t>D&amp;A</t>
  </si>
  <si>
    <t>Capital Expenditures</t>
  </si>
  <si>
    <t>Cash from Working Capital</t>
  </si>
  <si>
    <t>All figures in USD, millions</t>
  </si>
  <si>
    <t>Unlevered Free Cash Flow:</t>
  </si>
  <si>
    <t>Discounted Cash Flow Schedule:</t>
  </si>
  <si>
    <t>All figures in USD,millions</t>
  </si>
  <si>
    <t xml:space="preserve">Year 2 </t>
  </si>
  <si>
    <t xml:space="preserve">Year 3 </t>
  </si>
  <si>
    <t>Year 4</t>
  </si>
  <si>
    <t>Terminal</t>
  </si>
  <si>
    <t>Undiscounted Cash Flow</t>
  </si>
  <si>
    <t>Discrete Forecast</t>
  </si>
  <si>
    <t>Terminal Value</t>
  </si>
  <si>
    <t>Total Cash Flow</t>
  </si>
  <si>
    <t>-</t>
  </si>
  <si>
    <t>Assumptions</t>
  </si>
  <si>
    <t>Terminal Multiple</t>
  </si>
  <si>
    <t>Discount Rate</t>
  </si>
  <si>
    <t>17.5x</t>
  </si>
  <si>
    <t>Entrprise Value</t>
  </si>
  <si>
    <t>PV of Discrete</t>
  </si>
  <si>
    <t>PV of Terminal</t>
  </si>
  <si>
    <t>Equity Value</t>
  </si>
  <si>
    <r>
      <rPr>
        <b/>
        <sz val="12"/>
        <color theme="1"/>
        <rFont val="Calibri"/>
        <family val="2"/>
        <scheme val="minor"/>
      </rPr>
      <t>Equity Valu</t>
    </r>
    <r>
      <rPr>
        <sz val="12"/>
        <color theme="1"/>
        <rFont val="Calibri"/>
        <family val="2"/>
        <scheme val="minor"/>
      </rPr>
      <t>e</t>
    </r>
  </si>
  <si>
    <t>Current Price</t>
  </si>
  <si>
    <t xml:space="preserve"> Net Debt</t>
  </si>
  <si>
    <t>Price per Share</t>
  </si>
  <si>
    <t>Premium (Discount)</t>
  </si>
  <si>
    <t>$532.89</t>
  </si>
  <si>
    <t>GOOGL</t>
  </si>
  <si>
    <t>AMZN</t>
  </si>
  <si>
    <t>AAPL</t>
  </si>
  <si>
    <t>ORCL</t>
  </si>
  <si>
    <t>Median</t>
  </si>
  <si>
    <t>P/E TTM</t>
  </si>
  <si>
    <t>EV/Sales</t>
  </si>
  <si>
    <t>* Data taken from Yahoo Finance on  10/12/2025</t>
  </si>
  <si>
    <t>Quarterly Revenue Growth (YoY)</t>
  </si>
  <si>
    <t>Operating Margin (TTM)</t>
  </si>
  <si>
    <t>* P/FCF not used since FCF data was missing.</t>
  </si>
  <si>
    <t>Role</t>
  </si>
  <si>
    <t>Microsoft Base Salary</t>
  </si>
  <si>
    <t>Base Salary Gap (%)</t>
  </si>
  <si>
    <t>Peer Median Base Salary</t>
  </si>
  <si>
    <t>Benefits</t>
  </si>
  <si>
    <t>Perks and Non-Monetary Rewards</t>
  </si>
  <si>
    <t>Peer Median TDC</t>
  </si>
  <si>
    <t>TDC Gap (%)</t>
  </si>
  <si>
    <t>Software Engineer II</t>
  </si>
  <si>
    <t>Principal Software Engineer</t>
  </si>
  <si>
    <t>Data Science Engineer</t>
  </si>
  <si>
    <t>Senior Product Manager</t>
  </si>
  <si>
    <t>Director of Product</t>
  </si>
  <si>
    <t>Enterprise Account Executive</t>
  </si>
  <si>
    <t>Customer Success Manager</t>
  </si>
  <si>
    <t>Variable Pay (Bonuses)</t>
  </si>
  <si>
    <t>Long-Term Incentives (Stocks/yr)</t>
  </si>
  <si>
    <t>£112.8K</t>
  </si>
  <si>
    <t>£8.6K</t>
  </si>
  <si>
    <t>£19.6K</t>
  </si>
  <si>
    <t>£141.1K</t>
  </si>
  <si>
    <t>* The peers used are Google (Alphabet), Meta, Amazon, Apple and Netflix</t>
  </si>
  <si>
    <t>* TDC = Total Direct Compensation</t>
  </si>
  <si>
    <t>£168K</t>
  </si>
  <si>
    <t>*K = thousand</t>
  </si>
  <si>
    <t>£27.3K</t>
  </si>
  <si>
    <t>£52.4K</t>
  </si>
  <si>
    <t>£247.6K</t>
  </si>
  <si>
    <t>Mental health support. Generous paid time off. Hybrid working arrangements. Enhanced parental leaves. Professional development allowances. Access to in-house courses and certifications.</t>
  </si>
  <si>
    <t>* The benefits and perks/non-monetary rewards are almost identical for all these roles mentioned so I just used the same input.</t>
  </si>
  <si>
    <t>* Data in £</t>
  </si>
  <si>
    <t xml:space="preserve">Data Science Manager </t>
  </si>
  <si>
    <t>£17.3K</t>
  </si>
  <si>
    <t>£24.7K</t>
  </si>
  <si>
    <t>£173.2K</t>
  </si>
  <si>
    <t>£131.2K</t>
  </si>
  <si>
    <t>* Data taken and calculated from levels.fyi</t>
  </si>
  <si>
    <t>£106.1K</t>
  </si>
  <si>
    <t>£138.9K</t>
  </si>
  <si>
    <t>£267.7K</t>
  </si>
  <si>
    <t>£89.8K</t>
  </si>
  <si>
    <t>£11.2K</t>
  </si>
  <si>
    <t>£19.3K</t>
  </si>
  <si>
    <t>£120.3K</t>
  </si>
  <si>
    <t>£88K</t>
  </si>
  <si>
    <t>£121.5K</t>
  </si>
  <si>
    <t>£160.5K</t>
  </si>
  <si>
    <t>£281.4K</t>
  </si>
  <si>
    <t>£153.4K</t>
  </si>
  <si>
    <t>£35.9K</t>
  </si>
  <si>
    <t>£58.5K</t>
  </si>
  <si>
    <t>£247.9K</t>
  </si>
  <si>
    <t>£163.3K</t>
  </si>
  <si>
    <t>£331.7K</t>
  </si>
  <si>
    <t>£192.2K</t>
  </si>
  <si>
    <t>£605.3K</t>
  </si>
  <si>
    <t>£241K</t>
  </si>
  <si>
    <t>£100K</t>
  </si>
  <si>
    <t>£313K</t>
  </si>
  <si>
    <t>£805.3K</t>
  </si>
  <si>
    <t>£137.8K</t>
  </si>
  <si>
    <t>£133.9K</t>
  </si>
  <si>
    <t>£20.4K</t>
  </si>
  <si>
    <t>£27.7K</t>
  </si>
  <si>
    <t>£185.9K</t>
  </si>
  <si>
    <t>£183.15K</t>
  </si>
  <si>
    <t>£103.3K</t>
  </si>
  <si>
    <t>£17.2K</t>
  </si>
  <si>
    <t>£140.9K</t>
  </si>
  <si>
    <t>£109.8K</t>
  </si>
  <si>
    <t>£155.1K</t>
  </si>
  <si>
    <t>Vice President, Software Engineering</t>
  </si>
  <si>
    <t>£236.6K</t>
  </si>
  <si>
    <t>£146.6K</t>
  </si>
  <si>
    <t>£708.6K</t>
  </si>
  <si>
    <t>£1,090K</t>
  </si>
  <si>
    <t>£315.1K</t>
  </si>
  <si>
    <t>£1,350K</t>
  </si>
  <si>
    <t xml:space="preserve">Technical Program Manager </t>
  </si>
  <si>
    <t>£90.8K</t>
  </si>
  <si>
    <t>£17.9K</t>
  </si>
  <si>
    <t>£18.6K</t>
  </si>
  <si>
    <t>£127.3K</t>
  </si>
  <si>
    <t>£103.1K</t>
  </si>
  <si>
    <t>£134.3K</t>
  </si>
  <si>
    <t>Machine Learning Engineer</t>
  </si>
  <si>
    <t>£11.1K</t>
  </si>
  <si>
    <t>£107.2K</t>
  </si>
  <si>
    <t>£31.5K</t>
  </si>
  <si>
    <t>£149.9K</t>
  </si>
  <si>
    <t>£127.1K</t>
  </si>
  <si>
    <t>£197.6K</t>
  </si>
  <si>
    <t xml:space="preserve"> </t>
  </si>
  <si>
    <t>$1,186M</t>
  </si>
  <si>
    <t>52 - Week Range</t>
  </si>
  <si>
    <t>June 30th</t>
  </si>
  <si>
    <t>Market Capitalisation</t>
  </si>
  <si>
    <t>$555.45 - $344.79, 8.33% change</t>
  </si>
  <si>
    <t>0.331/33.1%</t>
  </si>
  <si>
    <t>All figures in USD million ($M) except share prices or percentages</t>
  </si>
  <si>
    <t>$116,110M</t>
  </si>
  <si>
    <t>Total Shareholders' Equity</t>
  </si>
  <si>
    <t>Average Shareholders' Equity</t>
  </si>
  <si>
    <t>$2,220M</t>
  </si>
  <si>
    <t>Return on Invested Capital</t>
  </si>
  <si>
    <t>My estimate long term is a growth rate of 13-14%</t>
  </si>
  <si>
    <t>Microsoft TDC</t>
  </si>
  <si>
    <t>Comprehensive health programmes. Employee Discounts. Pension Scheme. Employee Stock Purchase Plan. Discount on MSFT shares. Annual performance bonus. Deferred compensation plan.</t>
  </si>
  <si>
    <t>£807.4K</t>
  </si>
  <si>
    <t>* All salaries are in the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</si>
</sst>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£&quot;#,##0.00_);[Red]\(&quot;£&quot;#,##0.00\)"/>
    <numFmt numFmtId="43" formatCode="_(* #,##0.00_);_(* \(#,##0.00\);_(* &quot;-&quot;??_);_(@_)"/>
    <numFmt numFmtId="164" formatCode="0.0%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 (Body)"/>
    </font>
    <font>
      <sz val="16"/>
      <color theme="1"/>
      <name val="Calibri (Body)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left"/>
    </xf>
    <xf numFmtId="17" fontId="0" fillId="0" borderId="0" xfId="0" applyNumberFormat="1" applyAlignment="1">
      <alignment horizontal="left"/>
    </xf>
    <xf numFmtId="0" fontId="4" fillId="0" borderId="0" xfId="0" applyFont="1"/>
    <xf numFmtId="0" fontId="0" fillId="0" borderId="0" xfId="0" applyAlignment="1">
      <alignment horizontal="left"/>
    </xf>
    <xf numFmtId="14" fontId="0" fillId="0" borderId="0" xfId="0" applyNumberFormat="1"/>
    <xf numFmtId="10" fontId="0" fillId="0" borderId="0" xfId="0" applyNumberFormat="1"/>
    <xf numFmtId="9" fontId="0" fillId="0" borderId="0" xfId="0" applyNumberFormat="1"/>
    <xf numFmtId="10" fontId="0" fillId="0" borderId="0" xfId="0" applyNumberFormat="1" applyAlignment="1">
      <alignment horizontal="left"/>
    </xf>
    <xf numFmtId="9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0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0" fontId="0" fillId="2" borderId="2" xfId="0" applyNumberFormat="1" applyFill="1" applyBorder="1" applyAlignment="1">
      <alignment horizontal="right"/>
    </xf>
    <xf numFmtId="10" fontId="0" fillId="2" borderId="1" xfId="0" applyNumberFormat="1" applyFill="1" applyBorder="1" applyAlignment="1">
      <alignment horizontal="right"/>
    </xf>
    <xf numFmtId="9" fontId="0" fillId="0" borderId="0" xfId="2" applyFont="1"/>
    <xf numFmtId="0" fontId="0" fillId="0" borderId="0" xfId="2" applyNumberFormat="1" applyFont="1"/>
    <xf numFmtId="10" fontId="0" fillId="2" borderId="0" xfId="0" applyNumberFormat="1" applyFill="1" applyAlignment="1">
      <alignment horizontal="right"/>
    </xf>
    <xf numFmtId="0" fontId="5" fillId="0" borderId="0" xfId="0" applyFont="1"/>
    <xf numFmtId="3" fontId="0" fillId="0" borderId="1" xfId="0" applyNumberFormat="1" applyBorder="1" applyAlignment="1">
      <alignment horizontal="right"/>
    </xf>
    <xf numFmtId="3" fontId="0" fillId="0" borderId="2" xfId="0" applyNumberFormat="1" applyBorder="1" applyAlignment="1">
      <alignment horizontal="right"/>
    </xf>
    <xf numFmtId="9" fontId="0" fillId="0" borderId="2" xfId="0" applyNumberFormat="1" applyBorder="1" applyAlignment="1">
      <alignment horizontal="right"/>
    </xf>
    <xf numFmtId="10" fontId="0" fillId="0" borderId="2" xfId="0" applyNumberFormat="1" applyBorder="1" applyAlignment="1">
      <alignment horizontal="right"/>
    </xf>
    <xf numFmtId="10" fontId="0" fillId="0" borderId="1" xfId="0" applyNumberFormat="1" applyBorder="1" applyAlignment="1">
      <alignment horizontal="right"/>
    </xf>
    <xf numFmtId="10" fontId="0" fillId="0" borderId="0" xfId="2" applyNumberFormat="1" applyFont="1"/>
    <xf numFmtId="0" fontId="6" fillId="0" borderId="0" xfId="0" applyFont="1"/>
    <xf numFmtId="43" fontId="0" fillId="0" borderId="0" xfId="1" applyFont="1"/>
    <xf numFmtId="43" fontId="0" fillId="0" borderId="0" xfId="0" applyNumberFormat="1"/>
    <xf numFmtId="0" fontId="2" fillId="0" borderId="0" xfId="0" applyFont="1"/>
    <xf numFmtId="2" fontId="0" fillId="0" borderId="0" xfId="0" applyNumberFormat="1" applyAlignment="1">
      <alignment horizontal="right"/>
    </xf>
    <xf numFmtId="8" fontId="0" fillId="0" borderId="0" xfId="0" applyNumberFormat="1"/>
    <xf numFmtId="164" fontId="0" fillId="0" borderId="0" xfId="0" applyNumberFormat="1"/>
    <xf numFmtId="1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3">
    <cellStyle name="Comma" xfId="1" builtinId="3"/>
    <cellStyle name="Normal" xfId="0" builtinId="0"/>
    <cellStyle name="Per cent" xfId="2" builtinId="5"/>
  </cellStyles>
  <dxfs count="3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 vertical="bottom" textRotation="0" wrapText="0" indent="0" justifyLastLine="0" shrinkToFit="0" readingOrder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85E98E-29D8-EC4A-8892-F2B7F7A3E768}" name="Table2" displayName="Table2" ref="A1:B10" totalsRowShown="0">
  <autoFilter ref="A1:B10" xr:uid="{F285E98E-29D8-EC4A-8892-F2B7F7A3E768}"/>
  <tableColumns count="2">
    <tableColumn id="1" xr3:uid="{976E3FD6-9759-7240-B6B5-B54F6A28682A}" name="Metric "/>
    <tableColumn id="2" xr3:uid="{82F481AC-9281-D14B-B192-06FFDF45C62A}" name="Value 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C70D74-378A-A341-94EC-CFA6D3B46DBD}" name="Table3" displayName="Table3" ref="A1:B27" totalsRowShown="0">
  <autoFilter ref="A1:B27" xr:uid="{0FC70D74-378A-A341-94EC-CFA6D3B46DBD}"/>
  <tableColumns count="2">
    <tableColumn id="1" xr3:uid="{E8BB5699-30E6-4642-8FDA-039803BDE858}" name="Summary Information:"/>
    <tableColumn id="2" xr3:uid="{EB3BA1C8-153A-C747-AC57-967F2A67DCD0}" name="Column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14EBBF-53EB-6A44-ABF8-393CE1403762}" name="Table4" displayName="Table4" ref="A3:G69" totalsRowShown="0" headerRowDxfId="36" dataDxfId="35">
  <autoFilter ref="A3:G69" xr:uid="{9514EBBF-53EB-6A44-ABF8-393CE1403762}"/>
  <tableColumns count="7">
    <tableColumn id="1" xr3:uid="{206E6D46-F39A-594A-8DA3-E6BCD03505EB}" name="Metric "/>
    <tableColumn id="2" xr3:uid="{D2AEC30B-4DF4-F64B-BEED-211005AC854E}" name="2020" dataDxfId="34"/>
    <tableColumn id="3" xr3:uid="{77579DA3-922C-024A-9F6C-B937C34AC2ED}" name="2021" dataDxfId="33"/>
    <tableColumn id="4" xr3:uid="{91BEA145-7BF3-6A42-B56D-ADD942C67126}" name="2022" dataDxfId="32"/>
    <tableColumn id="5" xr3:uid="{B83FB5EB-87E0-5E4B-85CF-987D1C201F29}" name="2023" dataDxfId="31"/>
    <tableColumn id="6" xr3:uid="{E7B46F8E-11C8-7F48-820B-3CCBF442056B}" name="2024" dataDxfId="30"/>
    <tableColumn id="9" xr3:uid="{7212D75E-04D5-5342-BE76-9514FCDB3AD7}" name="2025" dataDxfId="2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5E22B9E-28B0-0643-BAF9-5A471AD8B3AA}" name="Table5" displayName="Table5" ref="A1:G28" totalsRowShown="0" headerRowDxfId="28">
  <autoFilter ref="A1:G28" xr:uid="{15E22B9E-28B0-0643-BAF9-5A471AD8B3AA}"/>
  <tableColumns count="7">
    <tableColumn id="1" xr3:uid="{009CEF9E-3BF6-5F43-9A1D-608C1369E9AD}" name="Metrics"/>
    <tableColumn id="2" xr3:uid="{178552FD-5385-9246-A06B-AD2A92973EA3}" name="2020"/>
    <tableColumn id="3" xr3:uid="{08DB5447-D438-1A4E-AF32-B773B90F811E}" name="2021"/>
    <tableColumn id="4" xr3:uid="{445BC8EE-D0CC-A348-9C2C-4E0D6A9A06F7}" name="2022"/>
    <tableColumn id="5" xr3:uid="{6785BB2E-E1EE-AF46-8D83-CC8BF985DB92}" name="2023"/>
    <tableColumn id="6" xr3:uid="{A835FE83-2073-D141-9C42-91CDF8055F84}" name="2024"/>
    <tableColumn id="7" xr3:uid="{F5FF2CD3-F21B-6948-AEE3-20718E34E5EA}" name="202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FADAB70-DBD6-D44B-B501-DBC8C24752AA}" name="Table6" displayName="Table6" ref="A1:G5" totalsRowShown="0">
  <autoFilter ref="A1:G5" xr:uid="{6FADAB70-DBD6-D44B-B501-DBC8C24752AA}"/>
  <tableColumns count="7">
    <tableColumn id="1" xr3:uid="{8D7D5BA7-EF3D-1D49-8DF0-705FD5D5B8FF}" name="Metric"/>
    <tableColumn id="2" xr3:uid="{8D8A4CFE-E3BF-744A-AC74-79C14374EF9E}" name="2020" dataDxfId="27"/>
    <tableColumn id="3" xr3:uid="{AAA3C9EA-5B35-484A-9176-D5B7FF60C889}" name="2021" dataDxfId="26"/>
    <tableColumn id="4" xr3:uid="{301C5E45-E931-F540-842F-E80A322AE86D}" name="2022" dataDxfId="25"/>
    <tableColumn id="5" xr3:uid="{43C08D6F-DF85-024C-A19F-67EA7C53BBF1}" name="2023" dataDxfId="24"/>
    <tableColumn id="6" xr3:uid="{61A8A513-BB9C-7745-8D07-A7AC7CAF9ED2}" name="2024" dataDxfId="23"/>
    <tableColumn id="7" xr3:uid="{3720C77D-4745-714B-9A95-41285D377F09}" name="2025" dataDxfId="2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DDDC3B4-80C5-6A45-9145-ECDCB132E7BF}" name="Table8" displayName="Table8" ref="A6:J27" totalsRowShown="0" headerRowDxfId="21">
  <autoFilter ref="A6:J27" xr:uid="{7DDDC3B4-80C5-6A45-9145-ECDCB132E7BF}"/>
  <tableColumns count="10">
    <tableColumn id="1" xr3:uid="{77DFA40F-02B0-7C47-9EB4-1EBFB8D4D1F9}" name="All figures in USD and millions"/>
    <tableColumn id="2" xr3:uid="{816D10D6-5A16-A84C-8A98-6CB702ED3D85}" name="Year -2"/>
    <tableColumn id="3" xr3:uid="{DD856137-DB52-484E-AF05-F7D8BE8A4E2A}" name="Year -1"/>
    <tableColumn id="4" xr3:uid="{ECA287A7-C8F1-844A-A4C5-C386A0A0C4F8}" name="Year 0"/>
    <tableColumn id="5" xr3:uid="{6128BCC7-8FCE-8447-A77E-1E0450A6D22C}" name="Year 1"/>
    <tableColumn id="6" xr3:uid="{E1FD5CDE-FBFE-B443-863B-1977DEFDB330}" name="Year 2"/>
    <tableColumn id="7" xr3:uid="{F4826972-7F47-D34A-9085-30BA136F8206}" name="Year 3"/>
    <tableColumn id="8" xr3:uid="{A7E3BC97-F6F8-6D42-A5FE-E52669E435EF}" name="Year 4 "/>
    <tableColumn id="9" xr3:uid="{BA640AC8-24D6-6B42-87F7-3B6D3BF6CC07}" name="Year 5 "/>
    <tableColumn id="10" xr3:uid="{CCFFCAE7-20C9-9C49-AF8D-1C620537B67F}" name="Ter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30662BE-95BB-EB49-879C-E88FBC7BA0C3}" name="Table10" displayName="Table10" ref="A35:J44" totalsRowShown="0">
  <autoFilter ref="A35:J44" xr:uid="{530662BE-95BB-EB49-879C-E88FBC7BA0C3}"/>
  <tableColumns count="10">
    <tableColumn id="1" xr3:uid="{2D2B6DDB-79A1-314A-BFC6-838166E1592C}" name="All figures in USD, millions"/>
    <tableColumn id="2" xr3:uid="{C5389F04-F6A8-594A-8CC0-028477BC45E3}" name="Year -2"/>
    <tableColumn id="3" xr3:uid="{79F96D2E-2593-8D44-BE67-115C4C499190}" name="Year -1"/>
    <tableColumn id="4" xr3:uid="{40F97A14-CE3E-8F4B-A5CB-958A4EF87146}" name="Year 0"/>
    <tableColumn id="5" xr3:uid="{2F6A4569-C00C-7D4F-8594-1287ADAA8D8E}" name="Year 1" dataDxfId="20"/>
    <tableColumn id="6" xr3:uid="{6F8EB178-7F50-7043-981A-8BF6F14D70F5}" name="Year 2" dataDxfId="19"/>
    <tableColumn id="7" xr3:uid="{41DC26E0-EEB0-B546-AD9F-614BFE40B91D}" name="Year 3" dataDxfId="18"/>
    <tableColumn id="8" xr3:uid="{47295F1E-203F-024C-B9B9-4526B9E6C69A}" name="Year 4 " dataDxfId="17"/>
    <tableColumn id="9" xr3:uid="{7D16F2BB-0640-1249-B117-2D56F4AD1C78}" name="Year 5 " dataDxfId="16"/>
    <tableColumn id="10" xr3:uid="{2ECA23B7-6BA1-9943-A325-56587799FD22}" name="Ter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40C0BE1-0654-E44F-83A7-DF52FA049940}" name="Table13" displayName="Table13" ref="A63:B64" headerRowCount="0">
  <tableColumns count="2">
    <tableColumn id="1" xr3:uid="{BD371183-E02F-914B-914F-326A1647EA03}" name="Column1" totalsRowLabel="Total"/>
    <tableColumn id="2" xr3:uid="{E9B85C07-E9AD-5B47-98D7-661DA4B7EA78}" name="Column2" totalsRowFunction="count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8F7D5F1-5BCA-9841-AC5A-1DD7FDC2BEAC}" name="Table14" displayName="Table14" ref="A51:G59" totalsRowShown="0">
  <autoFilter ref="A51:G59" xr:uid="{28F7D5F1-5BCA-9841-AC5A-1DD7FDC2BEAC}"/>
  <tableColumns count="7">
    <tableColumn id="1" xr3:uid="{0D61E971-A4FF-5145-82B1-67F6413E0111}" name="All figures in USD,millions"/>
    <tableColumn id="2" xr3:uid="{5FADE916-D0C1-924D-AD3A-BBCCA89B3A21}" name="Year 1"/>
    <tableColumn id="3" xr3:uid="{686EEF47-2E6F-8C40-A90A-BFAEA634FEAC}" name="Year 2 "/>
    <tableColumn id="4" xr3:uid="{8C9CE087-301E-8744-9BA8-E7568A4CA199}" name="Year 3 "/>
    <tableColumn id="5" xr3:uid="{DA6CD717-0E63-2647-B34D-B89B398A83F9}" name="Year 4"/>
    <tableColumn id="6" xr3:uid="{8B6D0036-9EF4-F142-B707-73155A97065D}" name="Year 5 "/>
    <tableColumn id="7" xr3:uid="{6CB75DE2-8409-B24D-8A1B-F710F8628C6C}" name="Termina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7BEF318-2D7D-6443-92C0-4E420F215ADF}" name="Table15" displayName="Table15" ref="A69:C71" headerRowCount="0" totalsRowShown="0">
  <tableColumns count="3">
    <tableColumn id="1" xr3:uid="{C7424B51-F27E-FD46-9014-8E795C1B7F00}" name="Column1"/>
    <tableColumn id="2" xr3:uid="{4DD6099E-B590-794D-9751-37D371E45415}" name="Column2" headerRowDxfId="15" headerRowCellStyle="Comma"/>
    <tableColumn id="3" xr3:uid="{8E33F142-BE7E-A040-BF09-34F18EEB0898}" name="Column3"/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68C9C71-E687-5A4F-9DEA-78F46883F49C}" name="Table17" displayName="Table17" ref="A76:B78" headerRowCount="0" totalsRowShown="0">
  <tableColumns count="2">
    <tableColumn id="1" xr3:uid="{A0A1EDFE-460E-B24A-AD5B-0265AB6B7D55}" name="Column1" headerRowDxfId="14"/>
    <tableColumn id="2" xr3:uid="{059A7827-FA46-D34D-AF58-E89861C63C04}" name="Column2" dataDxfId="13">
      <calculatedColumnFormula>B71</calculatedColumnFormula>
    </tableColumn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296D057-BF92-FE4A-AD83-8D00FDAB1992}" name="Table18" displayName="Table18" ref="A83:B85" headerRowCount="0" totalsRowShown="0">
  <tableColumns count="2">
    <tableColumn id="1" xr3:uid="{57E8FDA8-D61A-114F-B3A6-DB7F54A73523}" name="Column1"/>
    <tableColumn id="2" xr3:uid="{734305BE-42E4-154E-810C-DB3703797AC5}" name="Column2" dataDxfId="12">
      <calculatedColumnFormula>B78</calculatedColumnFormula>
    </tableColumn>
  </tableColumns>
  <tableStyleInfo name="TableStyleMedium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71DAA51-E39C-F548-88FE-84FC68C5004A}" name="Table19" displayName="Table19" ref="A90:B92" headerRowCount="0" totalsRowShown="0">
  <tableColumns count="2">
    <tableColumn id="1" xr3:uid="{6141C3D9-6B0C-7244-8ED8-DC3D776D30CA}" name="Column1"/>
    <tableColumn id="2" xr3:uid="{FAC61211-88D3-F94E-A1F9-E4E831CCA81F}" name="Column2" dataDxfId="11">
      <calculatedColumnFormula>B85</calculatedColumnFormula>
    </tableColumn>
  </tableColumns>
  <tableStyleInfo name="TableStyleMedium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7B1A804-D5D1-E845-A95E-AD6DC1EAE7CC}" name="Table21" displayName="Table21" ref="A1:K12" totalsRowShown="0" dataDxfId="10">
  <autoFilter ref="A1:K12" xr:uid="{77B1A804-D5D1-E845-A95E-AD6DC1EAE7CC}"/>
  <tableColumns count="11">
    <tableColumn id="1" xr3:uid="{13731B5C-30F3-934A-BD07-E1FA989683B3}" name="Role"/>
    <tableColumn id="2" xr3:uid="{BEF4F233-6E6C-C84E-89CF-6A9A6DDFD54C}" name="Microsoft Base Salary" dataDxfId="9"/>
    <tableColumn id="3" xr3:uid="{1253820F-0CBB-EC48-A686-843460E67F29}" name="Peer Median Base Salary" dataDxfId="8"/>
    <tableColumn id="4" xr3:uid="{AFAEA75A-3BCB-454F-93C5-8B029785CD79}" name="Base Salary Gap (%)" dataDxfId="7"/>
    <tableColumn id="5" xr3:uid="{AB67B28E-1066-194D-BA0A-1FCDFCA3BEEF}" name="Variable Pay (Bonuses)" dataDxfId="6"/>
    <tableColumn id="6" xr3:uid="{916C63C9-AC8B-5540-AEF2-AB2F65C637CB}" name="Long-Term Incentives (Stocks/yr)" dataDxfId="5"/>
    <tableColumn id="7" xr3:uid="{2191B47A-B0BC-EA44-9BF6-9C3543D4C762}" name="Microsoft TDC" dataDxfId="4"/>
    <tableColumn id="8" xr3:uid="{19CE9D9E-C8B5-6640-B203-D09B994D2846}" name="Peer Median TDC" dataDxfId="3"/>
    <tableColumn id="9" xr3:uid="{5507223B-AE57-6A40-BB3F-A8E4484E90C9}" name="TDC Gap (%)" dataDxfId="2"/>
    <tableColumn id="10" xr3:uid="{6528C335-4F0D-3B4A-AF8B-B7108E5715AA}" name="Benefits" dataDxfId="1">
      <calculatedColumnFormula>J1</calculatedColumnFormula>
    </tableColumn>
    <tableColumn id="11" xr3:uid="{602CFFA8-89C2-EB4B-A58E-7D3ACF868E60}" name="Perks and Non-Monetary Rewards" dataDxfId="0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2BCF3C9-0C4E-BA47-9014-EF66FC1D7432}" name="Table20" displayName="Table20" ref="A1:G9" totalsRowShown="0">
  <autoFilter ref="A1:G9" xr:uid="{92BCF3C9-0C4E-BA47-9014-EF66FC1D7432}"/>
  <tableColumns count="7">
    <tableColumn id="1" xr3:uid="{5847F6F0-AF09-6F4C-8464-173169167523}" name="Metric"/>
    <tableColumn id="2" xr3:uid="{453B7201-56AD-2E40-A4E6-A8FC5C36B28E}" name="MSFT"/>
    <tableColumn id="3" xr3:uid="{48B5B08E-BF93-7D4E-A540-7A9AAA3AD0E8}" name="GOOGL"/>
    <tableColumn id="4" xr3:uid="{0F20B363-0B6C-E947-B2E0-60DA55CA19EF}" name="AMZN"/>
    <tableColumn id="5" xr3:uid="{B28D80A5-E968-ED43-B519-DD66D338EC68}" name="AAPL"/>
    <tableColumn id="6" xr3:uid="{DF7579DE-F2C5-0B48-8450-8CDB3ABDE642}" name="ORCL"/>
    <tableColumn id="7" xr3:uid="{11826778-62E1-6E4D-B1CD-878BCB223BAB}" name="Medi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3.xml"/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523F5-13A9-D944-A196-0925015FB042}">
  <dimension ref="A1:B10"/>
  <sheetViews>
    <sheetView workbookViewId="0">
      <selection activeCell="B8" sqref="B8"/>
    </sheetView>
  </sheetViews>
  <sheetFormatPr baseColWidth="10" defaultRowHeight="16" x14ac:dyDescent="0.2"/>
  <cols>
    <col min="1" max="1" width="30.33203125" bestFit="1" customWidth="1"/>
    <col min="2" max="2" width="28.66406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1</v>
      </c>
      <c r="B2" t="s">
        <v>5</v>
      </c>
    </row>
    <row r="3" spans="1:2" x14ac:dyDescent="0.2">
      <c r="A3" t="s">
        <v>6</v>
      </c>
      <c r="B3" t="s">
        <v>7</v>
      </c>
    </row>
    <row r="4" spans="1:2" x14ac:dyDescent="0.2">
      <c r="A4" t="s">
        <v>8</v>
      </c>
      <c r="B4" t="s">
        <v>9</v>
      </c>
    </row>
    <row r="5" spans="1:2" x14ac:dyDescent="0.2">
      <c r="A5" t="s">
        <v>10</v>
      </c>
      <c r="B5" t="s">
        <v>11</v>
      </c>
    </row>
    <row r="6" spans="1:2" x14ac:dyDescent="0.2">
      <c r="A6" t="s">
        <v>12</v>
      </c>
      <c r="B6" s="1" t="s">
        <v>13</v>
      </c>
    </row>
    <row r="7" spans="1:2" x14ac:dyDescent="0.2">
      <c r="A7" t="s">
        <v>607</v>
      </c>
      <c r="B7" s="2">
        <v>3589880000000</v>
      </c>
    </row>
    <row r="8" spans="1:2" x14ac:dyDescent="0.2">
      <c r="A8" t="s">
        <v>605</v>
      </c>
      <c r="B8" t="s">
        <v>608</v>
      </c>
    </row>
    <row r="9" spans="1:2" x14ac:dyDescent="0.2">
      <c r="A9" t="s">
        <v>14</v>
      </c>
      <c r="B9" t="s">
        <v>15</v>
      </c>
    </row>
    <row r="10" spans="1:2" x14ac:dyDescent="0.2">
      <c r="A10" t="s">
        <v>16</v>
      </c>
      <c r="B10" s="3" t="s">
        <v>606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49DFA-BC55-C949-AF7C-3892790F40E9}">
  <dimension ref="A1:G27"/>
  <sheetViews>
    <sheetView workbookViewId="0">
      <selection activeCell="D23" sqref="D23"/>
    </sheetView>
  </sheetViews>
  <sheetFormatPr baseColWidth="10" defaultRowHeight="16" x14ac:dyDescent="0.2"/>
  <cols>
    <col min="1" max="1" width="22.1640625" customWidth="1"/>
    <col min="2" max="2" width="13.6640625" bestFit="1" customWidth="1"/>
  </cols>
  <sheetData>
    <row r="1" spans="1:7" x14ac:dyDescent="0.2">
      <c r="A1" t="s">
        <v>25</v>
      </c>
      <c r="B1" t="s">
        <v>2</v>
      </c>
    </row>
    <row r="2" spans="1:7" ht="24" x14ac:dyDescent="0.3">
      <c r="A2" t="s">
        <v>18</v>
      </c>
      <c r="B2" s="6">
        <f ca="1">TODAY()</f>
        <v>46006</v>
      </c>
      <c r="D2" s="4"/>
    </row>
    <row r="3" spans="1:7" x14ac:dyDescent="0.2">
      <c r="A3" t="s">
        <v>495</v>
      </c>
      <c r="B3" t="s">
        <v>11</v>
      </c>
    </row>
    <row r="4" spans="1:7" x14ac:dyDescent="0.2">
      <c r="A4" t="s">
        <v>19</v>
      </c>
      <c r="B4" t="s">
        <v>499</v>
      </c>
    </row>
    <row r="5" spans="1:7" x14ac:dyDescent="0.2">
      <c r="A5" t="s">
        <v>20</v>
      </c>
      <c r="B5" t="s">
        <v>21</v>
      </c>
    </row>
    <row r="6" spans="1:7" x14ac:dyDescent="0.2">
      <c r="A6" t="s">
        <v>22</v>
      </c>
      <c r="B6" s="5" t="s">
        <v>23</v>
      </c>
      <c r="C6" s="5"/>
      <c r="D6" s="5"/>
      <c r="E6" s="5"/>
      <c r="F6" s="5"/>
      <c r="G6" s="5"/>
    </row>
    <row r="7" spans="1:7" x14ac:dyDescent="0.2">
      <c r="B7" s="5"/>
    </row>
    <row r="8" spans="1:7" x14ac:dyDescent="0.2">
      <c r="A8" t="s">
        <v>24</v>
      </c>
    </row>
    <row r="9" spans="1:7" x14ac:dyDescent="0.2">
      <c r="A9" t="s">
        <v>26</v>
      </c>
      <c r="B9" s="5" t="s">
        <v>27</v>
      </c>
    </row>
    <row r="10" spans="1:7" x14ac:dyDescent="0.2">
      <c r="A10" t="s">
        <v>28</v>
      </c>
      <c r="B10" s="5">
        <v>30.49</v>
      </c>
    </row>
    <row r="11" spans="1:7" x14ac:dyDescent="0.2">
      <c r="A11" t="s">
        <v>29</v>
      </c>
      <c r="B11" s="5">
        <v>47</v>
      </c>
    </row>
    <row r="12" spans="1:7" x14ac:dyDescent="0.2">
      <c r="A12" t="s">
        <v>30</v>
      </c>
      <c r="B12" s="5">
        <v>1.07</v>
      </c>
    </row>
    <row r="13" spans="1:7" x14ac:dyDescent="0.2">
      <c r="A13" t="s">
        <v>31</v>
      </c>
      <c r="B13" s="5">
        <v>30.49</v>
      </c>
    </row>
    <row r="14" spans="1:7" x14ac:dyDescent="0.2">
      <c r="A14" t="s">
        <v>32</v>
      </c>
      <c r="B14" s="5" t="s">
        <v>33</v>
      </c>
    </row>
    <row r="15" spans="1:7" x14ac:dyDescent="0.2">
      <c r="A15" t="s">
        <v>34</v>
      </c>
      <c r="B15" s="9">
        <v>7.4999999999999997E-3</v>
      </c>
    </row>
    <row r="16" spans="1:7" x14ac:dyDescent="0.2">
      <c r="B16" s="5"/>
    </row>
    <row r="17" spans="1:2" x14ac:dyDescent="0.2">
      <c r="A17" t="s">
        <v>35</v>
      </c>
      <c r="B17" s="5"/>
    </row>
    <row r="18" spans="1:2" x14ac:dyDescent="0.2">
      <c r="A18" t="s">
        <v>36</v>
      </c>
      <c r="B18" s="5" t="s">
        <v>609</v>
      </c>
    </row>
    <row r="19" spans="1:2" x14ac:dyDescent="0.2">
      <c r="A19" t="s">
        <v>37</v>
      </c>
      <c r="B19" s="9">
        <v>0.254</v>
      </c>
    </row>
    <row r="20" spans="1:2" x14ac:dyDescent="0.2">
      <c r="A20" t="s">
        <v>38</v>
      </c>
      <c r="B20" s="5">
        <v>1.4</v>
      </c>
    </row>
    <row r="21" spans="1:2" x14ac:dyDescent="0.2">
      <c r="A21" t="s">
        <v>39</v>
      </c>
      <c r="B21" s="9">
        <v>0.2293</v>
      </c>
    </row>
    <row r="22" spans="1:2" x14ac:dyDescent="0.2">
      <c r="B22" s="5"/>
    </row>
    <row r="23" spans="1:2" x14ac:dyDescent="0.2">
      <c r="A23" t="s">
        <v>40</v>
      </c>
      <c r="B23" s="5"/>
    </row>
    <row r="24" spans="1:2" x14ac:dyDescent="0.2">
      <c r="A24" t="s">
        <v>41</v>
      </c>
      <c r="B24" s="9">
        <v>0.42499999999999999</v>
      </c>
    </row>
    <row r="25" spans="1:2" x14ac:dyDescent="0.2">
      <c r="A25" t="s">
        <v>42</v>
      </c>
      <c r="B25" s="9">
        <v>0.372</v>
      </c>
    </row>
    <row r="26" spans="1:2" x14ac:dyDescent="0.2">
      <c r="A26" t="s">
        <v>209</v>
      </c>
      <c r="B26" s="10">
        <v>0.21</v>
      </c>
    </row>
    <row r="27" spans="1:2" x14ac:dyDescent="0.2">
      <c r="B27" s="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8A688-28B4-154D-B567-41CFCA54BA40}">
  <dimension ref="A2:H69"/>
  <sheetViews>
    <sheetView workbookViewId="0">
      <selection activeCell="B70" sqref="B70"/>
    </sheetView>
  </sheetViews>
  <sheetFormatPr baseColWidth="10" defaultRowHeight="16" x14ac:dyDescent="0.2"/>
  <cols>
    <col min="1" max="1" width="42.5" bestFit="1" customWidth="1"/>
    <col min="2" max="2" width="11.83203125" customWidth="1"/>
    <col min="3" max="3" width="11.83203125" bestFit="1" customWidth="1"/>
    <col min="4" max="4" width="13.1640625" customWidth="1"/>
    <col min="5" max="5" width="12.33203125" customWidth="1"/>
    <col min="6" max="8" width="11.5" customWidth="1"/>
  </cols>
  <sheetData>
    <row r="2" spans="1:8" x14ac:dyDescent="0.2">
      <c r="A2" t="s">
        <v>610</v>
      </c>
    </row>
    <row r="3" spans="1:8" x14ac:dyDescent="0.2">
      <c r="A3" s="15" t="s">
        <v>3</v>
      </c>
      <c r="B3" s="15" t="s">
        <v>274</v>
      </c>
      <c r="C3" s="15" t="s">
        <v>275</v>
      </c>
      <c r="D3" s="15" t="s">
        <v>276</v>
      </c>
      <c r="E3" s="15" t="s">
        <v>277</v>
      </c>
      <c r="F3" s="15" t="s">
        <v>278</v>
      </c>
      <c r="G3" s="15" t="s">
        <v>372</v>
      </c>
      <c r="H3" s="15"/>
    </row>
    <row r="4" spans="1:8" x14ac:dyDescent="0.2">
      <c r="A4" t="s">
        <v>43</v>
      </c>
      <c r="B4" s="11" t="s">
        <v>73</v>
      </c>
      <c r="C4" s="11" t="s">
        <v>93</v>
      </c>
      <c r="D4" s="11" t="s">
        <v>115</v>
      </c>
      <c r="E4" s="11" t="s">
        <v>141</v>
      </c>
      <c r="F4" s="11" t="s">
        <v>163</v>
      </c>
      <c r="G4" s="11" t="s">
        <v>188</v>
      </c>
      <c r="H4" s="11"/>
    </row>
    <row r="5" spans="1:8" x14ac:dyDescent="0.2">
      <c r="A5" t="s">
        <v>319</v>
      </c>
      <c r="B5" s="11" t="s">
        <v>320</v>
      </c>
      <c r="C5" s="11" t="s">
        <v>321</v>
      </c>
      <c r="D5" s="11" t="s">
        <v>322</v>
      </c>
      <c r="E5" s="11" t="s">
        <v>323</v>
      </c>
      <c r="F5" s="11" t="s">
        <v>324</v>
      </c>
      <c r="G5" s="11" t="s">
        <v>373</v>
      </c>
      <c r="H5" s="11"/>
    </row>
    <row r="6" spans="1:8" x14ac:dyDescent="0.2">
      <c r="A6" t="s">
        <v>44</v>
      </c>
      <c r="B6" s="12">
        <v>0.13650000000000001</v>
      </c>
      <c r="C6" s="12">
        <v>0.17530000000000001</v>
      </c>
      <c r="D6" s="12">
        <v>0.17960000000000001</v>
      </c>
      <c r="E6" s="12">
        <v>6.88E-2</v>
      </c>
      <c r="F6" s="12">
        <v>0.15670000000000001</v>
      </c>
      <c r="G6" s="12">
        <v>0.14929999999999999</v>
      </c>
      <c r="H6" s="13"/>
    </row>
    <row r="7" spans="1:8" x14ac:dyDescent="0.2">
      <c r="A7" t="s">
        <v>45</v>
      </c>
      <c r="B7" s="11" t="s">
        <v>71</v>
      </c>
      <c r="C7" s="11" t="s">
        <v>105</v>
      </c>
      <c r="D7" s="11" t="s">
        <v>131</v>
      </c>
      <c r="E7" s="11" t="s">
        <v>142</v>
      </c>
      <c r="F7" s="11" t="s">
        <v>176</v>
      </c>
      <c r="G7" s="11" t="s">
        <v>196</v>
      </c>
      <c r="H7" s="11"/>
    </row>
    <row r="8" spans="1:8" x14ac:dyDescent="0.2">
      <c r="A8" t="s">
        <v>46</v>
      </c>
      <c r="B8" s="11" t="s">
        <v>72</v>
      </c>
      <c r="C8" s="11" t="s">
        <v>94</v>
      </c>
      <c r="D8" s="11" t="s">
        <v>117</v>
      </c>
      <c r="E8" s="11" t="s">
        <v>149</v>
      </c>
      <c r="F8" s="11" t="s">
        <v>167</v>
      </c>
      <c r="G8" s="11" t="s">
        <v>189</v>
      </c>
      <c r="H8" s="11"/>
    </row>
    <row r="9" spans="1:8" x14ac:dyDescent="0.2">
      <c r="A9" t="s">
        <v>47</v>
      </c>
      <c r="B9" s="12">
        <v>0.67779999999999996</v>
      </c>
      <c r="C9" s="12">
        <v>0.68930000000000002</v>
      </c>
      <c r="D9" s="12">
        <v>0.68400000000000005</v>
      </c>
      <c r="E9" s="12">
        <v>0.68920000000000003</v>
      </c>
      <c r="F9" s="12">
        <v>0.6976</v>
      </c>
      <c r="G9" s="12">
        <v>0.68820000000000003</v>
      </c>
      <c r="H9" s="12"/>
    </row>
    <row r="10" spans="1:8" x14ac:dyDescent="0.2">
      <c r="A10" t="s">
        <v>50</v>
      </c>
      <c r="B10" s="11" t="s">
        <v>74</v>
      </c>
      <c r="C10" s="11" t="s">
        <v>92</v>
      </c>
      <c r="D10" s="11" t="s">
        <v>116</v>
      </c>
      <c r="E10" s="11" t="s">
        <v>143</v>
      </c>
      <c r="F10" s="11" t="s">
        <v>164</v>
      </c>
      <c r="G10" s="11" t="s">
        <v>374</v>
      </c>
      <c r="H10" s="11"/>
    </row>
    <row r="11" spans="1:8" x14ac:dyDescent="0.2">
      <c r="A11" t="s">
        <v>101</v>
      </c>
      <c r="B11" s="11" t="s">
        <v>102</v>
      </c>
      <c r="C11" s="11" t="s">
        <v>103</v>
      </c>
      <c r="D11" s="11" t="s">
        <v>123</v>
      </c>
      <c r="E11" s="11" t="s">
        <v>172</v>
      </c>
      <c r="F11" s="11" t="s">
        <v>171</v>
      </c>
      <c r="G11" s="11" t="s">
        <v>194</v>
      </c>
      <c r="H11" s="11"/>
    </row>
    <row r="12" spans="1:8" x14ac:dyDescent="0.2">
      <c r="A12" t="s">
        <v>69</v>
      </c>
      <c r="B12" s="11" t="s">
        <v>91</v>
      </c>
      <c r="C12" s="11" t="s">
        <v>100</v>
      </c>
      <c r="D12" s="11" t="s">
        <v>124</v>
      </c>
      <c r="E12" s="11" t="s">
        <v>173</v>
      </c>
      <c r="F12" s="11" t="s">
        <v>174</v>
      </c>
      <c r="G12" s="11" t="s">
        <v>195</v>
      </c>
      <c r="H12" s="11"/>
    </row>
    <row r="13" spans="1:8" x14ac:dyDescent="0.2">
      <c r="A13" t="s">
        <v>51</v>
      </c>
      <c r="B13" s="11" t="s">
        <v>82</v>
      </c>
      <c r="C13" s="11" t="s">
        <v>604</v>
      </c>
      <c r="D13" s="11" t="s">
        <v>126</v>
      </c>
      <c r="E13" s="11" t="s">
        <v>144</v>
      </c>
      <c r="F13" s="11" t="s">
        <v>175</v>
      </c>
      <c r="G13" s="11" t="s">
        <v>375</v>
      </c>
      <c r="H13" s="11"/>
    </row>
    <row r="14" spans="1:8" x14ac:dyDescent="0.2">
      <c r="A14" t="s">
        <v>52</v>
      </c>
      <c r="B14" s="11" t="s">
        <v>84</v>
      </c>
      <c r="C14" s="11" t="s">
        <v>127</v>
      </c>
      <c r="D14" s="11" t="s">
        <v>128</v>
      </c>
      <c r="E14" s="11" t="s">
        <v>145</v>
      </c>
      <c r="F14" s="11" t="s">
        <v>177</v>
      </c>
      <c r="G14" s="11" t="s">
        <v>197</v>
      </c>
      <c r="H14" s="11"/>
    </row>
    <row r="15" spans="1:8" x14ac:dyDescent="0.2">
      <c r="A15" t="s">
        <v>53</v>
      </c>
      <c r="B15" s="11" t="s">
        <v>83</v>
      </c>
      <c r="C15" s="11" t="s">
        <v>129</v>
      </c>
      <c r="D15" s="11" t="s">
        <v>130</v>
      </c>
      <c r="E15" s="11" t="s">
        <v>146</v>
      </c>
      <c r="F15" s="11" t="s">
        <v>178</v>
      </c>
      <c r="G15" s="11" t="s">
        <v>198</v>
      </c>
      <c r="H15" s="11"/>
    </row>
    <row r="16" spans="1:8" x14ac:dyDescent="0.2">
      <c r="A16" t="s">
        <v>54</v>
      </c>
      <c r="B16" s="11" t="s">
        <v>79</v>
      </c>
      <c r="C16" s="11" t="s">
        <v>95</v>
      </c>
      <c r="D16" s="11" t="s">
        <v>125</v>
      </c>
      <c r="E16" s="11" t="s">
        <v>147</v>
      </c>
      <c r="F16" s="11" t="s">
        <v>166</v>
      </c>
      <c r="G16" s="11" t="s">
        <v>190</v>
      </c>
      <c r="H16" s="11"/>
    </row>
    <row r="17" spans="1:8" x14ac:dyDescent="0.2">
      <c r="A17" t="s">
        <v>417</v>
      </c>
      <c r="B17" s="12">
        <v>0.16500000000000001</v>
      </c>
      <c r="C17" s="12">
        <v>0.13800000000000001</v>
      </c>
      <c r="D17" s="12">
        <v>0.13100000000000001</v>
      </c>
      <c r="E17" s="13">
        <v>0.19</v>
      </c>
      <c r="F17" s="12">
        <v>0.182</v>
      </c>
      <c r="G17" s="12">
        <v>0.17599999999999999</v>
      </c>
      <c r="H17" s="11"/>
    </row>
    <row r="18" spans="1:8" x14ac:dyDescent="0.2">
      <c r="A18" t="s">
        <v>462</v>
      </c>
      <c r="B18" s="12" t="s">
        <v>464</v>
      </c>
      <c r="C18" s="12" t="s">
        <v>463</v>
      </c>
      <c r="D18" s="12" t="s">
        <v>461</v>
      </c>
      <c r="E18" s="13" t="s">
        <v>460</v>
      </c>
      <c r="F18" s="12" t="s">
        <v>459</v>
      </c>
      <c r="G18" s="12" t="s">
        <v>465</v>
      </c>
      <c r="H18" s="11"/>
    </row>
    <row r="19" spans="1:8" x14ac:dyDescent="0.2">
      <c r="A19" t="s">
        <v>32</v>
      </c>
      <c r="B19" s="11" t="s">
        <v>330</v>
      </c>
      <c r="C19" s="11" t="s">
        <v>331</v>
      </c>
      <c r="D19" s="11" t="s">
        <v>332</v>
      </c>
      <c r="E19" s="11" t="s">
        <v>333</v>
      </c>
      <c r="F19" s="11" t="s">
        <v>334</v>
      </c>
      <c r="G19" s="11" t="s">
        <v>377</v>
      </c>
      <c r="H19" s="11"/>
    </row>
    <row r="20" spans="1:8" x14ac:dyDescent="0.2">
      <c r="A20" t="s">
        <v>418</v>
      </c>
      <c r="B20" s="11" t="s">
        <v>427</v>
      </c>
      <c r="C20" s="11" t="s">
        <v>428</v>
      </c>
      <c r="D20" s="11" t="s">
        <v>429</v>
      </c>
      <c r="E20" s="11" t="s">
        <v>430</v>
      </c>
      <c r="F20" s="11" t="s">
        <v>431</v>
      </c>
      <c r="G20" s="11" t="s">
        <v>432</v>
      </c>
      <c r="H20" s="11"/>
    </row>
    <row r="21" spans="1:8" x14ac:dyDescent="0.2">
      <c r="A21" t="s">
        <v>80</v>
      </c>
      <c r="B21" s="11" t="s">
        <v>104</v>
      </c>
      <c r="C21" s="11" t="s">
        <v>118</v>
      </c>
      <c r="D21" s="11" t="s">
        <v>119</v>
      </c>
      <c r="E21" s="11" t="s">
        <v>148</v>
      </c>
      <c r="F21" s="11" t="s">
        <v>165</v>
      </c>
      <c r="G21" s="11" t="s">
        <v>378</v>
      </c>
      <c r="H21" s="11"/>
    </row>
    <row r="22" spans="1:8" x14ac:dyDescent="0.2">
      <c r="A22" t="s">
        <v>380</v>
      </c>
      <c r="B22" s="11" t="s">
        <v>358</v>
      </c>
      <c r="C22" s="11" t="s">
        <v>360</v>
      </c>
      <c r="D22" s="11" t="s">
        <v>359</v>
      </c>
      <c r="E22" s="11" t="s">
        <v>362</v>
      </c>
      <c r="F22" s="11" t="s">
        <v>361</v>
      </c>
      <c r="G22" s="11" t="s">
        <v>379</v>
      </c>
      <c r="H22" s="11"/>
    </row>
    <row r="23" spans="1:8" x14ac:dyDescent="0.2">
      <c r="A23" t="s">
        <v>313</v>
      </c>
      <c r="B23" s="11" t="s">
        <v>314</v>
      </c>
      <c r="C23" s="11" t="s">
        <v>316</v>
      </c>
      <c r="D23" s="11" t="s">
        <v>315</v>
      </c>
      <c r="E23" s="11" t="s">
        <v>318</v>
      </c>
      <c r="F23" s="11" t="s">
        <v>317</v>
      </c>
      <c r="G23" s="11" t="s">
        <v>381</v>
      </c>
      <c r="H23" s="11"/>
    </row>
    <row r="24" spans="1:8" x14ac:dyDescent="0.2">
      <c r="A24" t="s">
        <v>607</v>
      </c>
      <c r="B24" s="11" t="s">
        <v>325</v>
      </c>
      <c r="C24" s="11" t="s">
        <v>326</v>
      </c>
      <c r="D24" s="11" t="s">
        <v>327</v>
      </c>
      <c r="E24" s="11" t="s">
        <v>328</v>
      </c>
      <c r="F24" s="11" t="s">
        <v>329</v>
      </c>
      <c r="G24" s="11" t="s">
        <v>382</v>
      </c>
      <c r="H24" s="11"/>
    </row>
    <row r="25" spans="1:8" x14ac:dyDescent="0.2">
      <c r="A25" t="s">
        <v>352</v>
      </c>
      <c r="B25" s="11" t="s">
        <v>353</v>
      </c>
      <c r="C25" s="11" t="s">
        <v>354</v>
      </c>
      <c r="D25" s="11" t="s">
        <v>355</v>
      </c>
      <c r="E25" s="11" t="s">
        <v>356</v>
      </c>
      <c r="F25" s="11" t="s">
        <v>357</v>
      </c>
      <c r="G25" s="11" t="s">
        <v>410</v>
      </c>
      <c r="H25" s="11"/>
    </row>
    <row r="26" spans="1:8" x14ac:dyDescent="0.2">
      <c r="A26" t="s">
        <v>48</v>
      </c>
      <c r="B26" s="13">
        <v>0.37</v>
      </c>
      <c r="C26" s="12">
        <v>0.41599999999999998</v>
      </c>
      <c r="D26" s="12">
        <v>0.42099999999999999</v>
      </c>
      <c r="E26" s="12">
        <v>0.41799999999999998</v>
      </c>
      <c r="F26" s="12">
        <v>0.44640000000000002</v>
      </c>
      <c r="G26" s="12">
        <v>0.45619999999999999</v>
      </c>
      <c r="H26" s="12"/>
    </row>
    <row r="27" spans="1:8" x14ac:dyDescent="0.2">
      <c r="A27" t="s">
        <v>49</v>
      </c>
      <c r="B27" s="13">
        <v>0.30959999999999999</v>
      </c>
      <c r="C27" s="12">
        <v>0.36449999999999999</v>
      </c>
      <c r="D27" s="12">
        <v>0.3669</v>
      </c>
      <c r="E27" s="12">
        <v>0.34150000000000003</v>
      </c>
      <c r="F27" s="12">
        <v>0.35959999999999998</v>
      </c>
      <c r="G27" s="12">
        <v>0.36149999999999999</v>
      </c>
      <c r="H27" s="12"/>
    </row>
    <row r="28" spans="1:8" x14ac:dyDescent="0.2">
      <c r="A28" t="s">
        <v>55</v>
      </c>
      <c r="B28" s="11" t="s">
        <v>96</v>
      </c>
      <c r="C28" s="11" t="s">
        <v>75</v>
      </c>
      <c r="D28" s="11" t="s">
        <v>120</v>
      </c>
      <c r="E28" s="11" t="s">
        <v>150</v>
      </c>
      <c r="F28" s="11" t="s">
        <v>168</v>
      </c>
      <c r="G28" s="11" t="s">
        <v>191</v>
      </c>
      <c r="H28" s="11"/>
    </row>
    <row r="29" spans="1:8" x14ac:dyDescent="0.2">
      <c r="A29" t="s">
        <v>56</v>
      </c>
      <c r="B29" s="11" t="s">
        <v>97</v>
      </c>
      <c r="C29" s="11" t="s">
        <v>98</v>
      </c>
      <c r="D29" s="11" t="s">
        <v>121</v>
      </c>
      <c r="E29" s="11" t="s">
        <v>151</v>
      </c>
      <c r="F29" s="11" t="s">
        <v>169</v>
      </c>
      <c r="G29" s="11" t="s">
        <v>192</v>
      </c>
      <c r="H29" s="11"/>
    </row>
    <row r="30" spans="1:8" x14ac:dyDescent="0.2">
      <c r="A30" t="s">
        <v>57</v>
      </c>
      <c r="B30" s="11" t="s">
        <v>78</v>
      </c>
      <c r="C30" s="11" t="s">
        <v>99</v>
      </c>
      <c r="D30" s="11" t="s">
        <v>122</v>
      </c>
      <c r="E30" s="11" t="s">
        <v>152</v>
      </c>
      <c r="F30" s="11" t="s">
        <v>170</v>
      </c>
      <c r="G30" s="11" t="s">
        <v>193</v>
      </c>
      <c r="H30" s="11"/>
    </row>
    <row r="31" spans="1:8" x14ac:dyDescent="0.2">
      <c r="B31" s="11"/>
      <c r="C31" s="11"/>
      <c r="D31" s="11"/>
      <c r="E31" s="11"/>
      <c r="F31" s="11"/>
      <c r="G31" s="11"/>
      <c r="H31" s="11"/>
    </row>
    <row r="32" spans="1:8" x14ac:dyDescent="0.2">
      <c r="A32" t="s">
        <v>58</v>
      </c>
      <c r="B32" s="11"/>
      <c r="C32" s="11"/>
      <c r="D32" s="11"/>
      <c r="E32" s="11"/>
      <c r="F32" s="11"/>
      <c r="G32" s="11"/>
      <c r="H32" s="11"/>
    </row>
    <row r="33" spans="1:8" x14ac:dyDescent="0.2">
      <c r="A33" t="s">
        <v>208</v>
      </c>
      <c r="B33" s="11" t="s">
        <v>220</v>
      </c>
      <c r="C33" s="11" t="s">
        <v>229</v>
      </c>
      <c r="D33" s="11" t="s">
        <v>226</v>
      </c>
      <c r="E33" s="11" t="s">
        <v>223</v>
      </c>
      <c r="F33" s="11" t="s">
        <v>232</v>
      </c>
      <c r="G33" s="11" t="s">
        <v>383</v>
      </c>
      <c r="H33" s="11"/>
    </row>
    <row r="34" spans="1:8" x14ac:dyDescent="0.2">
      <c r="A34" t="s">
        <v>41</v>
      </c>
      <c r="B34" s="11" t="s">
        <v>221</v>
      </c>
      <c r="C34" s="11" t="s">
        <v>230</v>
      </c>
      <c r="D34" s="11" t="s">
        <v>227</v>
      </c>
      <c r="E34" s="11" t="s">
        <v>224</v>
      </c>
      <c r="F34" s="11" t="s">
        <v>233</v>
      </c>
      <c r="G34" s="11" t="s">
        <v>384</v>
      </c>
      <c r="H34" s="11"/>
    </row>
    <row r="35" spans="1:8" x14ac:dyDescent="0.2">
      <c r="A35" t="s">
        <v>209</v>
      </c>
      <c r="B35" s="11" t="s">
        <v>222</v>
      </c>
      <c r="C35" s="11" t="s">
        <v>231</v>
      </c>
      <c r="D35" s="11" t="s">
        <v>228</v>
      </c>
      <c r="E35" s="11" t="s">
        <v>225</v>
      </c>
      <c r="F35" s="11" t="s">
        <v>234</v>
      </c>
      <c r="G35" s="11" t="s">
        <v>385</v>
      </c>
      <c r="H35" s="11"/>
    </row>
    <row r="36" spans="1:8" x14ac:dyDescent="0.2">
      <c r="B36" s="11"/>
      <c r="C36" s="11"/>
      <c r="D36" s="11"/>
      <c r="E36" s="11"/>
      <c r="F36" s="11"/>
      <c r="G36" s="11"/>
      <c r="H36" s="11"/>
    </row>
    <row r="37" spans="1:8" x14ac:dyDescent="0.2">
      <c r="A37" t="s">
        <v>59</v>
      </c>
      <c r="B37" s="11"/>
      <c r="C37" s="11"/>
      <c r="D37" s="11"/>
      <c r="E37" s="11"/>
      <c r="F37" s="11"/>
      <c r="G37" s="11"/>
      <c r="H37" s="11"/>
    </row>
    <row r="38" spans="1:8" x14ac:dyDescent="0.2">
      <c r="A38" t="s">
        <v>60</v>
      </c>
      <c r="B38" s="11"/>
      <c r="C38" s="11"/>
      <c r="D38" s="11"/>
      <c r="E38" s="11"/>
      <c r="F38" s="11"/>
      <c r="G38" s="11"/>
      <c r="H38" s="11"/>
    </row>
    <row r="39" spans="1:8" x14ac:dyDescent="0.2">
      <c r="A39" t="s">
        <v>335</v>
      </c>
      <c r="B39" s="11" t="s">
        <v>336</v>
      </c>
      <c r="C39" s="11" t="s">
        <v>611</v>
      </c>
      <c r="D39" s="11" t="s">
        <v>337</v>
      </c>
      <c r="E39" s="11" t="s">
        <v>339</v>
      </c>
      <c r="F39" s="11" t="s">
        <v>338</v>
      </c>
      <c r="G39" s="11" t="s">
        <v>386</v>
      </c>
      <c r="H39" s="11"/>
    </row>
    <row r="40" spans="1:8" x14ac:dyDescent="0.2">
      <c r="A40" t="s">
        <v>340</v>
      </c>
      <c r="B40" s="11" t="s">
        <v>345</v>
      </c>
      <c r="C40" s="11" t="s">
        <v>344</v>
      </c>
      <c r="D40" s="11" t="s">
        <v>343</v>
      </c>
      <c r="E40" s="11" t="s">
        <v>342</v>
      </c>
      <c r="F40" s="11" t="s">
        <v>341</v>
      </c>
      <c r="G40" s="11" t="s">
        <v>387</v>
      </c>
      <c r="H40" s="11"/>
    </row>
    <row r="41" spans="1:8" x14ac:dyDescent="0.2">
      <c r="A41" t="s">
        <v>61</v>
      </c>
      <c r="B41" s="11" t="s">
        <v>85</v>
      </c>
      <c r="C41" s="11" t="s">
        <v>106</v>
      </c>
      <c r="D41" s="11" t="s">
        <v>132</v>
      </c>
      <c r="E41" s="11" t="s">
        <v>153</v>
      </c>
      <c r="F41" s="11" t="s">
        <v>179</v>
      </c>
      <c r="G41" s="11" t="s">
        <v>199</v>
      </c>
      <c r="H41" s="11"/>
    </row>
    <row r="42" spans="1:8" x14ac:dyDescent="0.2">
      <c r="A42" t="s">
        <v>62</v>
      </c>
      <c r="B42" s="11" t="s">
        <v>86</v>
      </c>
      <c r="C42" s="11" t="s">
        <v>107</v>
      </c>
      <c r="D42" s="11" t="s">
        <v>133</v>
      </c>
      <c r="E42" s="11" t="s">
        <v>154</v>
      </c>
      <c r="F42" s="11" t="s">
        <v>180</v>
      </c>
      <c r="G42" s="11" t="s">
        <v>200</v>
      </c>
      <c r="H42" s="11"/>
    </row>
    <row r="43" spans="1:8" x14ac:dyDescent="0.2">
      <c r="A43" t="s">
        <v>63</v>
      </c>
      <c r="B43" s="11" t="s">
        <v>87</v>
      </c>
      <c r="C43" s="11" t="s">
        <v>108</v>
      </c>
      <c r="D43" s="11" t="s">
        <v>134</v>
      </c>
      <c r="E43" s="11" t="s">
        <v>155</v>
      </c>
      <c r="F43" s="11" t="s">
        <v>181</v>
      </c>
      <c r="G43" s="11" t="s">
        <v>201</v>
      </c>
      <c r="H43" s="11"/>
    </row>
    <row r="44" spans="1:8" x14ac:dyDescent="0.2">
      <c r="A44" t="s">
        <v>64</v>
      </c>
      <c r="B44" s="11" t="s">
        <v>88</v>
      </c>
      <c r="C44" s="11" t="s">
        <v>109</v>
      </c>
      <c r="D44" s="11" t="s">
        <v>135</v>
      </c>
      <c r="E44" s="11" t="s">
        <v>156</v>
      </c>
      <c r="F44" s="11" t="s">
        <v>182</v>
      </c>
      <c r="G44" s="11" t="s">
        <v>202</v>
      </c>
      <c r="H44" s="11"/>
    </row>
    <row r="45" spans="1:8" x14ac:dyDescent="0.2">
      <c r="A45" t="s">
        <v>70</v>
      </c>
      <c r="B45" s="11" t="s">
        <v>76</v>
      </c>
      <c r="C45" s="11" t="s">
        <v>110</v>
      </c>
      <c r="D45" s="11" t="s">
        <v>136</v>
      </c>
      <c r="E45" s="11" t="s">
        <v>157</v>
      </c>
      <c r="F45" s="11" t="s">
        <v>183</v>
      </c>
      <c r="G45" s="11" t="s">
        <v>203</v>
      </c>
      <c r="H45" s="11"/>
    </row>
    <row r="46" spans="1:8" x14ac:dyDescent="0.2">
      <c r="A46" t="s">
        <v>65</v>
      </c>
      <c r="B46" s="11"/>
      <c r="C46" s="11"/>
      <c r="D46" s="11"/>
      <c r="E46" s="11"/>
      <c r="F46" s="11"/>
      <c r="G46" s="11"/>
      <c r="H46" s="11"/>
    </row>
    <row r="47" spans="1:8" x14ac:dyDescent="0.2">
      <c r="A47" t="s">
        <v>66</v>
      </c>
      <c r="B47" s="11" t="s">
        <v>89</v>
      </c>
      <c r="C47" s="11" t="s">
        <v>111</v>
      </c>
      <c r="D47" s="11" t="s">
        <v>137</v>
      </c>
      <c r="E47" s="11" t="s">
        <v>158</v>
      </c>
      <c r="F47" s="11" t="s">
        <v>184</v>
      </c>
      <c r="G47" s="11" t="s">
        <v>204</v>
      </c>
      <c r="H47" s="11"/>
    </row>
    <row r="48" spans="1:8" x14ac:dyDescent="0.2">
      <c r="A48" t="s">
        <v>67</v>
      </c>
      <c r="B48" s="11" t="s">
        <v>77</v>
      </c>
      <c r="C48" s="11" t="s">
        <v>112</v>
      </c>
      <c r="D48" s="11" t="s">
        <v>138</v>
      </c>
      <c r="E48" s="11" t="s">
        <v>159</v>
      </c>
      <c r="F48" s="11" t="s">
        <v>185</v>
      </c>
      <c r="G48" s="11" t="s">
        <v>205</v>
      </c>
      <c r="H48" s="11"/>
    </row>
    <row r="49" spans="1:8" x14ac:dyDescent="0.2">
      <c r="A49" t="s">
        <v>346</v>
      </c>
      <c r="B49" s="11" t="s">
        <v>347</v>
      </c>
      <c r="C49" s="11" t="s">
        <v>349</v>
      </c>
      <c r="D49" s="11" t="s">
        <v>348</v>
      </c>
      <c r="E49" s="11" t="s">
        <v>351</v>
      </c>
      <c r="F49" s="11" t="s">
        <v>350</v>
      </c>
      <c r="G49" s="11" t="s">
        <v>409</v>
      </c>
      <c r="H49" s="11"/>
    </row>
    <row r="50" spans="1:8" x14ac:dyDescent="0.2">
      <c r="A50" t="s">
        <v>68</v>
      </c>
      <c r="B50" s="11" t="s">
        <v>90</v>
      </c>
      <c r="C50" s="11" t="s">
        <v>113</v>
      </c>
      <c r="D50" s="11" t="s">
        <v>139</v>
      </c>
      <c r="E50" s="11" t="s">
        <v>160</v>
      </c>
      <c r="F50" s="11" t="s">
        <v>186</v>
      </c>
      <c r="G50" s="11" t="s">
        <v>206</v>
      </c>
      <c r="H50" s="11"/>
    </row>
    <row r="51" spans="1:8" x14ac:dyDescent="0.2">
      <c r="A51" t="s">
        <v>612</v>
      </c>
      <c r="B51" s="11" t="s">
        <v>81</v>
      </c>
      <c r="C51" s="11" t="s">
        <v>114</v>
      </c>
      <c r="D51" s="11" t="s">
        <v>140</v>
      </c>
      <c r="E51" s="11" t="s">
        <v>161</v>
      </c>
      <c r="F51" s="11" t="s">
        <v>187</v>
      </c>
      <c r="G51" s="11" t="s">
        <v>207</v>
      </c>
      <c r="H51" s="11"/>
    </row>
    <row r="52" spans="1:8" x14ac:dyDescent="0.2">
      <c r="A52" t="s">
        <v>613</v>
      </c>
      <c r="B52" s="11" t="s">
        <v>411</v>
      </c>
      <c r="C52" s="11" t="s">
        <v>412</v>
      </c>
      <c r="D52" s="11" t="s">
        <v>413</v>
      </c>
      <c r="E52" s="11" t="s">
        <v>414</v>
      </c>
      <c r="F52" s="11" t="s">
        <v>415</v>
      </c>
      <c r="G52" s="11" t="s">
        <v>416</v>
      </c>
      <c r="H52" s="11"/>
    </row>
    <row r="53" spans="1:8" x14ac:dyDescent="0.2">
      <c r="A53" t="s">
        <v>301</v>
      </c>
      <c r="B53" s="11" t="s">
        <v>302</v>
      </c>
      <c r="C53" s="11" t="s">
        <v>304</v>
      </c>
      <c r="D53" s="11" t="s">
        <v>303</v>
      </c>
      <c r="E53" s="11" t="s">
        <v>305</v>
      </c>
      <c r="F53" s="11" t="s">
        <v>306</v>
      </c>
      <c r="G53" s="11" t="s">
        <v>408</v>
      </c>
      <c r="H53" s="11"/>
    </row>
    <row r="54" spans="1:8" x14ac:dyDescent="0.2">
      <c r="A54" t="s">
        <v>433</v>
      </c>
      <c r="B54" s="11" t="s">
        <v>439</v>
      </c>
      <c r="C54" s="11" t="s">
        <v>434</v>
      </c>
      <c r="D54" s="11" t="s">
        <v>435</v>
      </c>
      <c r="E54" s="11" t="s">
        <v>436</v>
      </c>
      <c r="F54" s="11" t="s">
        <v>437</v>
      </c>
      <c r="G54" s="11" t="s">
        <v>438</v>
      </c>
      <c r="H54" s="11"/>
    </row>
    <row r="55" spans="1:8" x14ac:dyDescent="0.2">
      <c r="A55" t="s">
        <v>307</v>
      </c>
      <c r="B55" s="11" t="s">
        <v>308</v>
      </c>
      <c r="C55" s="11" t="s">
        <v>310</v>
      </c>
      <c r="D55" s="11" t="s">
        <v>309</v>
      </c>
      <c r="E55" s="11" t="s">
        <v>312</v>
      </c>
      <c r="F55" s="11" t="s">
        <v>311</v>
      </c>
      <c r="G55" s="11" t="s">
        <v>407</v>
      </c>
      <c r="H55" s="11"/>
    </row>
    <row r="56" spans="1:8" x14ac:dyDescent="0.2">
      <c r="A56" t="s">
        <v>420</v>
      </c>
      <c r="B56" s="11" t="s">
        <v>421</v>
      </c>
      <c r="C56" s="11" t="s">
        <v>422</v>
      </c>
      <c r="D56" s="11" t="s">
        <v>423</v>
      </c>
      <c r="E56" s="11" t="s">
        <v>424</v>
      </c>
      <c r="F56" s="11" t="s">
        <v>425</v>
      </c>
      <c r="G56" s="11" t="s">
        <v>426</v>
      </c>
      <c r="H56" s="11"/>
    </row>
    <row r="57" spans="1:8" x14ac:dyDescent="0.2">
      <c r="B57" s="11"/>
      <c r="C57" s="11"/>
      <c r="D57" s="11"/>
      <c r="E57" s="11"/>
      <c r="F57" s="11"/>
      <c r="G57" s="11"/>
      <c r="H57" s="11"/>
    </row>
    <row r="58" spans="1:8" x14ac:dyDescent="0.2">
      <c r="A58" t="s">
        <v>210</v>
      </c>
      <c r="B58" s="13"/>
      <c r="C58" s="13"/>
      <c r="D58" s="13"/>
      <c r="E58" s="13"/>
      <c r="F58" s="13"/>
      <c r="G58" s="13"/>
      <c r="H58" s="13"/>
    </row>
    <row r="59" spans="1:8" x14ac:dyDescent="0.2">
      <c r="A59" t="s">
        <v>54</v>
      </c>
      <c r="B59" s="11" t="s">
        <v>79</v>
      </c>
      <c r="C59" s="11" t="s">
        <v>95</v>
      </c>
      <c r="D59" s="11" t="s">
        <v>125</v>
      </c>
      <c r="E59" s="11" t="s">
        <v>147</v>
      </c>
      <c r="F59" s="11" t="s">
        <v>166</v>
      </c>
      <c r="G59" s="11" t="s">
        <v>190</v>
      </c>
      <c r="H59" s="11"/>
    </row>
    <row r="60" spans="1:8" x14ac:dyDescent="0.2">
      <c r="A60" t="s">
        <v>211</v>
      </c>
      <c r="B60" s="11" t="s">
        <v>235</v>
      </c>
      <c r="C60" s="11" t="s">
        <v>248</v>
      </c>
      <c r="D60" s="11" t="s">
        <v>250</v>
      </c>
      <c r="E60" s="11" t="s">
        <v>261</v>
      </c>
      <c r="F60" s="11" t="s">
        <v>266</v>
      </c>
      <c r="G60" s="11" t="s">
        <v>376</v>
      </c>
      <c r="H60" s="11"/>
    </row>
    <row r="61" spans="1:8" x14ac:dyDescent="0.2">
      <c r="A61" t="s">
        <v>212</v>
      </c>
      <c r="B61" s="11" t="s">
        <v>236</v>
      </c>
      <c r="C61" s="11" t="s">
        <v>249</v>
      </c>
      <c r="D61" s="11" t="s">
        <v>251</v>
      </c>
      <c r="E61" s="11" t="s">
        <v>262</v>
      </c>
      <c r="F61" s="11" t="s">
        <v>267</v>
      </c>
      <c r="G61" s="11" t="s">
        <v>388</v>
      </c>
      <c r="H61" s="11"/>
    </row>
    <row r="62" spans="1:8" x14ac:dyDescent="0.2">
      <c r="A62" t="s">
        <v>395</v>
      </c>
      <c r="B62" s="11" t="s">
        <v>396</v>
      </c>
      <c r="C62" s="11" t="s">
        <v>397</v>
      </c>
      <c r="D62" s="11" t="s">
        <v>398</v>
      </c>
      <c r="E62" s="11" t="s">
        <v>399</v>
      </c>
      <c r="F62" s="11" t="s">
        <v>400</v>
      </c>
      <c r="G62" s="11" t="s">
        <v>401</v>
      </c>
      <c r="H62" s="11"/>
    </row>
    <row r="63" spans="1:8" x14ac:dyDescent="0.2">
      <c r="A63" t="s">
        <v>213</v>
      </c>
      <c r="B63" s="11" t="s">
        <v>402</v>
      </c>
      <c r="C63" s="11" t="s">
        <v>403</v>
      </c>
      <c r="D63" s="11" t="s">
        <v>404</v>
      </c>
      <c r="E63" s="11" t="s">
        <v>405</v>
      </c>
      <c r="F63" s="11" t="s">
        <v>406</v>
      </c>
      <c r="G63" s="11" t="s">
        <v>162</v>
      </c>
      <c r="H63" s="11"/>
    </row>
    <row r="64" spans="1:8" x14ac:dyDescent="0.2">
      <c r="A64" t="s">
        <v>214</v>
      </c>
      <c r="B64" s="14" t="s">
        <v>245</v>
      </c>
      <c r="C64" s="11" t="s">
        <v>244</v>
      </c>
      <c r="D64" s="11" t="s">
        <v>252</v>
      </c>
      <c r="E64" s="11" t="s">
        <v>263</v>
      </c>
      <c r="F64" s="11" t="s">
        <v>268</v>
      </c>
      <c r="G64" s="11" t="s">
        <v>389</v>
      </c>
      <c r="H64" s="11"/>
    </row>
    <row r="65" spans="1:8" x14ac:dyDescent="0.2">
      <c r="A65" t="s">
        <v>215</v>
      </c>
      <c r="B65" s="14" t="s">
        <v>242</v>
      </c>
      <c r="C65" s="11" t="s">
        <v>243</v>
      </c>
      <c r="D65" s="11" t="s">
        <v>253</v>
      </c>
      <c r="E65" s="11" t="s">
        <v>264</v>
      </c>
      <c r="F65" s="11" t="s">
        <v>269</v>
      </c>
      <c r="G65" s="11" t="s">
        <v>390</v>
      </c>
      <c r="H65" s="11"/>
    </row>
    <row r="66" spans="1:8" x14ac:dyDescent="0.2">
      <c r="A66" t="s">
        <v>216</v>
      </c>
      <c r="B66" s="11" t="s">
        <v>246</v>
      </c>
      <c r="C66" s="11" t="s">
        <v>247</v>
      </c>
      <c r="D66" s="11" t="s">
        <v>254</v>
      </c>
      <c r="E66" s="11" t="s">
        <v>265</v>
      </c>
      <c r="F66" s="11" t="s">
        <v>270</v>
      </c>
      <c r="G66" s="11" t="s">
        <v>391</v>
      </c>
      <c r="H66" s="11"/>
    </row>
    <row r="67" spans="1:8" x14ac:dyDescent="0.2">
      <c r="A67" t="s">
        <v>217</v>
      </c>
      <c r="B67" s="11" t="s">
        <v>238</v>
      </c>
      <c r="C67" s="11" t="s">
        <v>237</v>
      </c>
      <c r="D67" s="11" t="s">
        <v>255</v>
      </c>
      <c r="E67" s="11" t="s">
        <v>256</v>
      </c>
      <c r="F67" s="11" t="s">
        <v>271</v>
      </c>
      <c r="G67" s="11" t="s">
        <v>394</v>
      </c>
      <c r="H67" s="11"/>
    </row>
    <row r="68" spans="1:8" x14ac:dyDescent="0.2">
      <c r="A68" t="s">
        <v>218</v>
      </c>
      <c r="B68" s="11" t="s">
        <v>240</v>
      </c>
      <c r="C68" s="11" t="s">
        <v>239</v>
      </c>
      <c r="D68" s="11" t="s">
        <v>257</v>
      </c>
      <c r="E68" s="11" t="s">
        <v>258</v>
      </c>
      <c r="F68" s="11" t="s">
        <v>272</v>
      </c>
      <c r="G68" s="11" t="s">
        <v>392</v>
      </c>
      <c r="H68" s="11"/>
    </row>
    <row r="69" spans="1:8" x14ac:dyDescent="0.2">
      <c r="A69" t="s">
        <v>219</v>
      </c>
      <c r="B69" s="11" t="s">
        <v>614</v>
      </c>
      <c r="C69" s="11" t="s">
        <v>241</v>
      </c>
      <c r="D69" s="11" t="s">
        <v>259</v>
      </c>
      <c r="E69" s="11" t="s">
        <v>260</v>
      </c>
      <c r="F69" s="11" t="s">
        <v>273</v>
      </c>
      <c r="G69" s="11" t="s">
        <v>393</v>
      </c>
      <c r="H69" s="11"/>
    </row>
  </sheetData>
  <phoneticPr fontId="3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D4FA2-60C3-BA4D-8A91-8E600B213FFA}">
  <dimension ref="A1:H28"/>
  <sheetViews>
    <sheetView workbookViewId="0">
      <selection activeCell="C15" sqref="C15"/>
    </sheetView>
  </sheetViews>
  <sheetFormatPr baseColWidth="10" defaultRowHeight="16" x14ac:dyDescent="0.2"/>
  <cols>
    <col min="1" max="1" width="27.5" bestFit="1" customWidth="1"/>
    <col min="26" max="26" width="22.5" bestFit="1" customWidth="1"/>
  </cols>
  <sheetData>
    <row r="1" spans="1:8" x14ac:dyDescent="0.2">
      <c r="A1" s="15" t="s">
        <v>279</v>
      </c>
      <c r="B1" s="15" t="s">
        <v>274</v>
      </c>
      <c r="C1" s="15" t="s">
        <v>275</v>
      </c>
      <c r="D1" s="15" t="s">
        <v>276</v>
      </c>
      <c r="E1" s="15" t="s">
        <v>277</v>
      </c>
      <c r="F1" s="15" t="s">
        <v>278</v>
      </c>
      <c r="G1" s="15" t="s">
        <v>372</v>
      </c>
      <c r="H1" s="15"/>
    </row>
    <row r="2" spans="1:8" x14ac:dyDescent="0.2">
      <c r="A2" t="s">
        <v>285</v>
      </c>
    </row>
    <row r="3" spans="1:8" x14ac:dyDescent="0.2">
      <c r="A3" t="s">
        <v>280</v>
      </c>
      <c r="B3" s="16">
        <v>0.67779999999999996</v>
      </c>
      <c r="C3" s="16">
        <v>0.68930000000000002</v>
      </c>
      <c r="D3" s="16">
        <v>0.68400000000000005</v>
      </c>
      <c r="E3" s="16">
        <v>0.68920000000000003</v>
      </c>
      <c r="F3" s="17">
        <v>0.6976</v>
      </c>
      <c r="G3" s="20">
        <v>0.68820000000000003</v>
      </c>
    </row>
    <row r="4" spans="1:8" x14ac:dyDescent="0.2">
      <c r="A4" t="s">
        <v>281</v>
      </c>
      <c r="B4" s="7">
        <v>0.37030000000000002</v>
      </c>
      <c r="C4" s="7">
        <v>0.41589999999999999</v>
      </c>
      <c r="D4" s="7">
        <v>0.42059999999999997</v>
      </c>
      <c r="E4" s="7">
        <v>0.41770000000000002</v>
      </c>
      <c r="F4" s="7">
        <v>0.44640000000000002</v>
      </c>
      <c r="G4" s="7">
        <v>0.42620000000000002</v>
      </c>
    </row>
    <row r="5" spans="1:8" x14ac:dyDescent="0.2">
      <c r="A5" t="s">
        <v>282</v>
      </c>
      <c r="B5" s="7">
        <v>0.30959999999999999</v>
      </c>
      <c r="C5" s="7">
        <v>0.36449999999999999</v>
      </c>
      <c r="D5" s="7">
        <v>0.3669</v>
      </c>
      <c r="E5" s="7">
        <v>0.34150000000000003</v>
      </c>
      <c r="F5" s="7">
        <v>0.35959999999999998</v>
      </c>
      <c r="G5" s="7">
        <v>0.36149999999999999</v>
      </c>
    </row>
    <row r="6" spans="1:8" x14ac:dyDescent="0.2">
      <c r="A6" t="s">
        <v>283</v>
      </c>
      <c r="B6" s="7">
        <v>0.40139999999999998</v>
      </c>
      <c r="C6" s="7">
        <v>0.4708</v>
      </c>
      <c r="D6" s="7">
        <v>0.47149999999999997</v>
      </c>
      <c r="E6" s="7">
        <v>0.38819999999999999</v>
      </c>
      <c r="F6" s="7">
        <v>0.37130000000000002</v>
      </c>
      <c r="G6" s="7">
        <v>0.33279999999999998</v>
      </c>
    </row>
    <row r="7" spans="1:8" x14ac:dyDescent="0.2">
      <c r="A7" t="s">
        <v>284</v>
      </c>
      <c r="B7" s="7">
        <v>0.14699999999999999</v>
      </c>
      <c r="C7" s="7">
        <v>0.18360000000000001</v>
      </c>
      <c r="D7" s="7">
        <v>0.19939999999999999</v>
      </c>
      <c r="E7" s="7">
        <v>0.17560000000000001</v>
      </c>
      <c r="F7" s="7">
        <v>0.1721</v>
      </c>
      <c r="G7" s="7">
        <v>0.16450000000000001</v>
      </c>
    </row>
    <row r="8" spans="1:8" x14ac:dyDescent="0.2">
      <c r="A8" t="s">
        <v>615</v>
      </c>
      <c r="B8" s="7">
        <v>0.2631</v>
      </c>
      <c r="C8" s="7">
        <v>0.32419999999999999</v>
      </c>
      <c r="D8" s="7">
        <v>0.35639999999999999</v>
      </c>
      <c r="E8" s="7">
        <v>0.32779999999999998</v>
      </c>
      <c r="F8" s="7">
        <v>0.30330000000000001</v>
      </c>
      <c r="G8" s="7">
        <v>0.29720000000000002</v>
      </c>
    </row>
    <row r="10" spans="1:8" x14ac:dyDescent="0.2">
      <c r="A10" t="s">
        <v>286</v>
      </c>
    </row>
    <row r="11" spans="1:8" x14ac:dyDescent="0.2">
      <c r="A11" t="s">
        <v>38</v>
      </c>
      <c r="B11" s="19">
        <v>2.52</v>
      </c>
      <c r="C11">
        <v>2.08</v>
      </c>
      <c r="D11">
        <v>1.79</v>
      </c>
      <c r="E11">
        <v>1.77</v>
      </c>
      <c r="F11">
        <v>1.27</v>
      </c>
      <c r="G11">
        <v>1.35</v>
      </c>
    </row>
    <row r="12" spans="1:8" x14ac:dyDescent="0.2">
      <c r="A12" t="s">
        <v>287</v>
      </c>
      <c r="B12" s="19">
        <v>2.4900000000000002</v>
      </c>
      <c r="C12">
        <v>2.0499999999999998</v>
      </c>
      <c r="D12">
        <v>1.75</v>
      </c>
      <c r="E12">
        <v>1.75</v>
      </c>
      <c r="F12">
        <v>1.27</v>
      </c>
      <c r="G12">
        <v>1.35</v>
      </c>
    </row>
    <row r="13" spans="1:8" x14ac:dyDescent="0.2">
      <c r="A13" t="s">
        <v>288</v>
      </c>
      <c r="B13" s="19">
        <v>81.7</v>
      </c>
      <c r="C13">
        <v>82.61</v>
      </c>
      <c r="D13">
        <v>81.48</v>
      </c>
      <c r="E13">
        <v>80.41</v>
      </c>
      <c r="F13">
        <v>84.76</v>
      </c>
      <c r="G13">
        <v>90.57</v>
      </c>
    </row>
    <row r="14" spans="1:8" x14ac:dyDescent="0.2">
      <c r="A14" t="s">
        <v>289</v>
      </c>
      <c r="B14" s="19">
        <v>72.27</v>
      </c>
      <c r="C14" s="11">
        <v>74.180000000000007</v>
      </c>
      <c r="D14">
        <v>62.17</v>
      </c>
      <c r="E14">
        <v>67.900000000000006</v>
      </c>
      <c r="F14">
        <v>130.87</v>
      </c>
      <c r="G14">
        <v>257.99</v>
      </c>
    </row>
    <row r="16" spans="1:8" x14ac:dyDescent="0.2">
      <c r="A16" t="s">
        <v>290</v>
      </c>
    </row>
    <row r="17" spans="1:7" x14ac:dyDescent="0.2">
      <c r="A17" t="s">
        <v>291</v>
      </c>
      <c r="B17">
        <v>0.54</v>
      </c>
      <c r="C17">
        <v>0.41</v>
      </c>
      <c r="D17">
        <v>0.3</v>
      </c>
      <c r="E17">
        <v>0.23</v>
      </c>
      <c r="F17">
        <v>0.17</v>
      </c>
      <c r="G17">
        <v>0.13</v>
      </c>
    </row>
    <row r="18" spans="1:7" x14ac:dyDescent="0.2">
      <c r="A18" t="s">
        <v>292</v>
      </c>
      <c r="B18">
        <v>0.93</v>
      </c>
      <c r="C18">
        <v>0.68</v>
      </c>
      <c r="D18">
        <v>0.5</v>
      </c>
      <c r="E18">
        <v>0.45</v>
      </c>
      <c r="F18">
        <v>0.34</v>
      </c>
      <c r="G18">
        <v>0.27</v>
      </c>
    </row>
    <row r="19" spans="1:7" x14ac:dyDescent="0.2">
      <c r="A19" t="s">
        <v>293</v>
      </c>
      <c r="B19">
        <v>21.47</v>
      </c>
      <c r="C19">
        <v>31.3</v>
      </c>
      <c r="D19">
        <v>41.58</v>
      </c>
      <c r="E19">
        <v>46.38</v>
      </c>
      <c r="F19">
        <v>37.72</v>
      </c>
      <c r="G19">
        <v>54.5</v>
      </c>
    </row>
    <row r="21" spans="1:7" x14ac:dyDescent="0.2">
      <c r="A21" t="s">
        <v>294</v>
      </c>
    </row>
    <row r="22" spans="1:7" x14ac:dyDescent="0.2">
      <c r="A22" t="s">
        <v>295</v>
      </c>
      <c r="B22">
        <v>35.33</v>
      </c>
      <c r="C22">
        <v>33.65</v>
      </c>
      <c r="D22">
        <v>26.8</v>
      </c>
      <c r="E22">
        <v>35.18</v>
      </c>
      <c r="F22">
        <v>37.880000000000003</v>
      </c>
      <c r="G22">
        <v>36.47</v>
      </c>
    </row>
    <row r="23" spans="1:7" x14ac:dyDescent="0.2">
      <c r="A23" t="s">
        <v>28</v>
      </c>
      <c r="B23">
        <v>27.32</v>
      </c>
      <c r="C23">
        <v>28.97</v>
      </c>
      <c r="D23">
        <v>24.28</v>
      </c>
      <c r="E23">
        <v>28.86</v>
      </c>
      <c r="F23">
        <v>33.11</v>
      </c>
      <c r="G23">
        <v>28.92</v>
      </c>
    </row>
    <row r="24" spans="1:7" x14ac:dyDescent="0.2">
      <c r="A24" t="s">
        <v>296</v>
      </c>
      <c r="B24">
        <v>10.83</v>
      </c>
      <c r="C24">
        <v>12.16</v>
      </c>
      <c r="D24">
        <v>9.7799999999999994</v>
      </c>
      <c r="E24">
        <v>11.97</v>
      </c>
      <c r="F24">
        <v>13.55</v>
      </c>
      <c r="G24">
        <v>13.12</v>
      </c>
    </row>
    <row r="25" spans="1:7" x14ac:dyDescent="0.2">
      <c r="A25" t="s">
        <v>297</v>
      </c>
      <c r="B25">
        <v>13.09</v>
      </c>
      <c r="C25">
        <v>14.4</v>
      </c>
      <c r="D25">
        <v>11.64</v>
      </c>
      <c r="E25">
        <v>12.3</v>
      </c>
      <c r="F25">
        <v>12.37</v>
      </c>
      <c r="G25">
        <v>10.76</v>
      </c>
    </row>
    <row r="26" spans="1:7" x14ac:dyDescent="0.2">
      <c r="A26" t="s">
        <v>298</v>
      </c>
      <c r="B26">
        <v>23.36</v>
      </c>
      <c r="C26">
        <v>24.53</v>
      </c>
      <c r="D26">
        <v>19.7</v>
      </c>
      <c r="E26">
        <v>24.24</v>
      </c>
      <c r="F26">
        <v>25.17</v>
      </c>
      <c r="G26">
        <v>23.16</v>
      </c>
    </row>
    <row r="27" spans="1:7" x14ac:dyDescent="0.2">
      <c r="A27" t="s">
        <v>299</v>
      </c>
      <c r="B27">
        <v>34.24</v>
      </c>
      <c r="C27">
        <v>36.43</v>
      </c>
      <c r="D27">
        <v>29.76</v>
      </c>
      <c r="E27">
        <v>42.63</v>
      </c>
      <c r="F27">
        <v>44.84</v>
      </c>
      <c r="G27">
        <v>51.63</v>
      </c>
    </row>
    <row r="28" spans="1:7" x14ac:dyDescent="0.2">
      <c r="A28" t="s">
        <v>300</v>
      </c>
      <c r="B28" s="8">
        <v>0.01</v>
      </c>
      <c r="C28" s="7">
        <v>8.3000000000000001E-3</v>
      </c>
      <c r="D28" s="7">
        <v>9.5999999999999992E-3</v>
      </c>
      <c r="E28" s="7">
        <v>8.0000000000000002E-3</v>
      </c>
      <c r="F28" s="7">
        <v>6.7000000000000002E-3</v>
      </c>
      <c r="G28" s="7">
        <v>6.7000000000000002E-3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754BF-D1D0-DA40-9976-5973AAB20AAC}">
  <dimension ref="A1:G10"/>
  <sheetViews>
    <sheetView workbookViewId="0">
      <selection activeCell="E19" sqref="E19"/>
    </sheetView>
  </sheetViews>
  <sheetFormatPr baseColWidth="10" defaultRowHeight="16" x14ac:dyDescent="0.2"/>
  <cols>
    <col min="1" max="1" width="24.83203125" bestFit="1" customWidth="1"/>
  </cols>
  <sheetData>
    <row r="1" spans="1:7" x14ac:dyDescent="0.2">
      <c r="A1" t="s">
        <v>0</v>
      </c>
      <c r="B1" t="s">
        <v>274</v>
      </c>
      <c r="C1" t="s">
        <v>275</v>
      </c>
      <c r="D1" t="s">
        <v>276</v>
      </c>
      <c r="E1" t="s">
        <v>277</v>
      </c>
      <c r="F1" t="s">
        <v>278</v>
      </c>
      <c r="G1" t="s">
        <v>372</v>
      </c>
    </row>
    <row r="2" spans="1:7" x14ac:dyDescent="0.2">
      <c r="A2" t="s">
        <v>363</v>
      </c>
      <c r="G2" s="7"/>
    </row>
    <row r="3" spans="1:7" x14ac:dyDescent="0.2">
      <c r="A3" t="s">
        <v>364</v>
      </c>
      <c r="B3" s="7">
        <v>0.13650000000000001</v>
      </c>
      <c r="C3" s="7">
        <v>0.17530000000000001</v>
      </c>
      <c r="D3" s="7">
        <v>0.17960000000000001</v>
      </c>
      <c r="E3" s="7">
        <v>6.88E-2</v>
      </c>
      <c r="F3" s="7">
        <v>0.15670000000000001</v>
      </c>
      <c r="G3" s="7">
        <v>0.14929999999999999</v>
      </c>
    </row>
    <row r="4" spans="1:7" x14ac:dyDescent="0.2">
      <c r="A4" t="s">
        <v>458</v>
      </c>
      <c r="B4" s="7">
        <v>0.13830000000000001</v>
      </c>
      <c r="C4" s="7">
        <v>0.39760000000000001</v>
      </c>
      <c r="D4" s="7">
        <v>0.1988</v>
      </c>
      <c r="E4" s="7">
        <v>3.0999999999999999E-3</v>
      </c>
      <c r="F4" s="7">
        <v>0.219</v>
      </c>
      <c r="G4" s="7">
        <v>0.15590000000000001</v>
      </c>
    </row>
    <row r="5" spans="1:7" x14ac:dyDescent="0.2">
      <c r="A5" t="s">
        <v>368</v>
      </c>
      <c r="B5" s="7">
        <v>0.18229999999999999</v>
      </c>
      <c r="C5" s="7">
        <v>0.24060000000000001</v>
      </c>
      <c r="D5" s="7">
        <v>0.16089999999999999</v>
      </c>
      <c r="E5" s="7">
        <v>-8.7099999999999997E-2</v>
      </c>
      <c r="F5" s="7">
        <v>0.24540000000000001</v>
      </c>
      <c r="G5" s="7">
        <f>-3.32%</f>
        <v>-3.32E-2</v>
      </c>
    </row>
    <row r="6" spans="1:7" x14ac:dyDescent="0.2">
      <c r="B6" s="7"/>
      <c r="C6" s="7"/>
      <c r="D6" s="7"/>
      <c r="E6" s="7"/>
      <c r="F6" s="7"/>
    </row>
    <row r="7" spans="1:7" x14ac:dyDescent="0.2">
      <c r="A7" t="s">
        <v>365</v>
      </c>
    </row>
    <row r="8" spans="1:7" x14ac:dyDescent="0.2">
      <c r="A8" t="s">
        <v>369</v>
      </c>
      <c r="B8" t="s">
        <v>370</v>
      </c>
    </row>
    <row r="9" spans="1:7" x14ac:dyDescent="0.2">
      <c r="A9" t="s">
        <v>366</v>
      </c>
      <c r="B9" t="s">
        <v>371</v>
      </c>
    </row>
    <row r="10" spans="1:7" x14ac:dyDescent="0.2">
      <c r="A10" t="s">
        <v>367</v>
      </c>
      <c r="B10" t="s">
        <v>616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F3F35-E4E7-F34E-B164-8B4BDF30C24D}">
  <dimension ref="A3:J92"/>
  <sheetViews>
    <sheetView topLeftCell="A52" workbookViewId="0">
      <selection activeCell="D78" sqref="D78"/>
    </sheetView>
  </sheetViews>
  <sheetFormatPr baseColWidth="10" defaultRowHeight="16" x14ac:dyDescent="0.2"/>
  <cols>
    <col min="1" max="1" width="28.5" customWidth="1"/>
    <col min="2" max="2" width="14" bestFit="1" customWidth="1"/>
    <col min="3" max="3" width="13.33203125" bestFit="1" customWidth="1"/>
    <col min="4" max="6" width="11.5" bestFit="1" customWidth="1"/>
    <col min="7" max="7" width="13" bestFit="1" customWidth="1"/>
    <col min="8" max="10" width="11.5" bestFit="1" customWidth="1"/>
  </cols>
  <sheetData>
    <row r="3" spans="1:10" ht="21" x14ac:dyDescent="0.25">
      <c r="A3" s="21" t="s">
        <v>440</v>
      </c>
    </row>
    <row r="6" spans="1:10" x14ac:dyDescent="0.2">
      <c r="A6" s="15" t="s">
        <v>457</v>
      </c>
      <c r="B6" s="15" t="s">
        <v>449</v>
      </c>
      <c r="C6" s="15" t="s">
        <v>450</v>
      </c>
      <c r="D6" s="15" t="s">
        <v>451</v>
      </c>
      <c r="E6" s="15" t="s">
        <v>452</v>
      </c>
      <c r="F6" s="15" t="s">
        <v>453</v>
      </c>
      <c r="G6" s="15" t="s">
        <v>454</v>
      </c>
      <c r="H6" s="15" t="s">
        <v>455</v>
      </c>
      <c r="I6" s="15" t="s">
        <v>456</v>
      </c>
      <c r="J6" s="15" t="s">
        <v>466</v>
      </c>
    </row>
    <row r="8" spans="1:10" x14ac:dyDescent="0.2">
      <c r="A8" t="s">
        <v>364</v>
      </c>
      <c r="B8" s="7">
        <v>6.9000000000000006E-2</v>
      </c>
      <c r="C8" s="7">
        <v>0.157</v>
      </c>
      <c r="D8" s="7">
        <v>0.14899999999999999</v>
      </c>
      <c r="E8" s="8">
        <v>0.14000000000000001</v>
      </c>
      <c r="F8" s="8">
        <v>0.13</v>
      </c>
      <c r="G8" s="7">
        <v>0.12</v>
      </c>
      <c r="H8" s="7">
        <v>0.11</v>
      </c>
      <c r="I8" s="7">
        <v>0.1</v>
      </c>
      <c r="J8" s="8">
        <v>0.04</v>
      </c>
    </row>
    <row r="9" spans="1:10" x14ac:dyDescent="0.2">
      <c r="A9" t="s">
        <v>444</v>
      </c>
      <c r="B9" s="27">
        <v>0.311</v>
      </c>
      <c r="C9" s="7">
        <v>0.30199999999999999</v>
      </c>
      <c r="D9" s="7">
        <v>0.312</v>
      </c>
      <c r="E9" s="8">
        <v>0.31</v>
      </c>
      <c r="F9" s="7">
        <v>0.308</v>
      </c>
      <c r="G9" s="7">
        <v>0.30599999999999999</v>
      </c>
      <c r="H9" s="7">
        <v>0.30399999999999999</v>
      </c>
      <c r="I9" s="7">
        <v>0.30199999999999999</v>
      </c>
      <c r="J9" s="8">
        <v>0.3</v>
      </c>
    </row>
    <row r="10" spans="1:10" x14ac:dyDescent="0.2">
      <c r="A10" t="s">
        <v>443</v>
      </c>
      <c r="B10" s="7">
        <v>0.27100000000000002</v>
      </c>
      <c r="C10" s="7">
        <v>0.251</v>
      </c>
      <c r="D10" s="7">
        <v>0.23200000000000001</v>
      </c>
      <c r="E10" s="8">
        <v>0.23</v>
      </c>
      <c r="F10" s="7">
        <v>0.22800000000000001</v>
      </c>
      <c r="G10" s="7">
        <v>0.22600000000000001</v>
      </c>
      <c r="H10" s="7">
        <v>0.224</v>
      </c>
      <c r="I10" s="7">
        <v>0.222</v>
      </c>
      <c r="J10" s="8">
        <v>0.22</v>
      </c>
    </row>
    <row r="13" spans="1:10" x14ac:dyDescent="0.2">
      <c r="A13" t="s">
        <v>17</v>
      </c>
      <c r="B13" s="1">
        <v>211915</v>
      </c>
      <c r="C13" s="1">
        <v>245122</v>
      </c>
      <c r="D13" s="1">
        <v>281724</v>
      </c>
      <c r="E13" s="1">
        <v>321166</v>
      </c>
      <c r="F13" s="1">
        <v>362917</v>
      </c>
      <c r="G13" s="1">
        <v>406467</v>
      </c>
      <c r="H13" s="1">
        <v>451178</v>
      </c>
      <c r="I13" s="1">
        <v>496296</v>
      </c>
      <c r="J13" s="1">
        <v>516146</v>
      </c>
    </row>
    <row r="14" spans="1:10" x14ac:dyDescent="0.2">
      <c r="A14" t="s">
        <v>441</v>
      </c>
      <c r="B14" s="23">
        <v>65863</v>
      </c>
      <c r="C14" s="23">
        <v>74114</v>
      </c>
      <c r="D14" s="22">
        <v>87831</v>
      </c>
      <c r="E14" s="1">
        <v>99561</v>
      </c>
      <c r="F14" s="1">
        <v>111778</v>
      </c>
      <c r="G14" s="1">
        <v>124379</v>
      </c>
      <c r="H14" s="1">
        <v>137158</v>
      </c>
      <c r="I14" s="1">
        <v>149881</v>
      </c>
      <c r="J14" s="1">
        <v>154844</v>
      </c>
    </row>
    <row r="15" spans="1:10" x14ac:dyDescent="0.2">
      <c r="A15" t="s">
        <v>46</v>
      </c>
      <c r="B15" s="1">
        <v>146052</v>
      </c>
      <c r="C15" s="1">
        <v>171008</v>
      </c>
      <c r="D15" s="1">
        <v>193893</v>
      </c>
      <c r="E15" s="1">
        <v>221605</v>
      </c>
      <c r="F15" s="1">
        <v>251139</v>
      </c>
      <c r="G15" s="1">
        <v>282088</v>
      </c>
      <c r="H15" s="1">
        <v>314020</v>
      </c>
      <c r="I15" s="1">
        <v>346415</v>
      </c>
      <c r="J15" s="1">
        <v>361302</v>
      </c>
    </row>
    <row r="18" spans="1:10" x14ac:dyDescent="0.2">
      <c r="A18" t="s">
        <v>442</v>
      </c>
      <c r="B18" s="1">
        <v>57529</v>
      </c>
      <c r="C18" s="1">
        <v>61575</v>
      </c>
      <c r="D18" s="1">
        <v>65365</v>
      </c>
      <c r="E18" s="1">
        <v>73868</v>
      </c>
      <c r="F18" s="1">
        <v>82745</v>
      </c>
      <c r="G18" s="1">
        <v>91862</v>
      </c>
      <c r="H18" s="1">
        <v>101064</v>
      </c>
      <c r="I18" s="1">
        <v>110178</v>
      </c>
      <c r="J18" s="1">
        <v>113552</v>
      </c>
    </row>
    <row r="19" spans="1:10" x14ac:dyDescent="0.2">
      <c r="A19" t="s">
        <v>32</v>
      </c>
      <c r="B19" s="1">
        <v>105140</v>
      </c>
      <c r="C19" s="1">
        <v>133009</v>
      </c>
      <c r="D19" s="1">
        <v>160165</v>
      </c>
      <c r="E19" s="1">
        <v>185348</v>
      </c>
      <c r="F19" s="1">
        <v>212194</v>
      </c>
      <c r="G19" s="1">
        <v>239891</v>
      </c>
      <c r="H19" s="1">
        <v>268541</v>
      </c>
      <c r="I19" s="1">
        <v>297808</v>
      </c>
      <c r="J19" s="1">
        <v>310720</v>
      </c>
    </row>
    <row r="22" spans="1:10" x14ac:dyDescent="0.2">
      <c r="A22" t="s">
        <v>445</v>
      </c>
      <c r="B22" s="1">
        <f>B19-B23</f>
        <v>16617</v>
      </c>
      <c r="C22" s="1">
        <f>C19-C23</f>
        <v>23576</v>
      </c>
      <c r="D22" s="1">
        <f>D19-D23</f>
        <v>31637</v>
      </c>
      <c r="E22" s="1">
        <v>37070</v>
      </c>
      <c r="F22" s="1">
        <v>42413</v>
      </c>
      <c r="G22" s="1">
        <v>46775</v>
      </c>
      <c r="H22" s="1">
        <v>50373</v>
      </c>
      <c r="I22" s="1">
        <v>53327</v>
      </c>
      <c r="J22" s="1">
        <v>55460</v>
      </c>
    </row>
    <row r="23" spans="1:10" x14ac:dyDescent="0.2">
      <c r="A23" t="s">
        <v>446</v>
      </c>
      <c r="B23" s="1">
        <v>88523</v>
      </c>
      <c r="C23" s="1">
        <v>109433</v>
      </c>
      <c r="D23" s="1">
        <v>128528</v>
      </c>
      <c r="E23" s="1">
        <v>148278</v>
      </c>
      <c r="F23" s="1">
        <v>169781</v>
      </c>
      <c r="G23" s="1">
        <v>193116</v>
      </c>
      <c r="H23" s="1">
        <v>218168</v>
      </c>
      <c r="I23" s="1">
        <v>244481</v>
      </c>
      <c r="J23" s="1">
        <v>255260</v>
      </c>
    </row>
    <row r="26" spans="1:10" x14ac:dyDescent="0.2">
      <c r="A26" t="s">
        <v>447</v>
      </c>
      <c r="B26" s="24">
        <v>0.26</v>
      </c>
      <c r="C26" s="25">
        <v>0.223</v>
      </c>
      <c r="D26" s="26">
        <v>0.224</v>
      </c>
      <c r="E26" s="8">
        <v>0.22</v>
      </c>
      <c r="F26" s="7">
        <v>0.218</v>
      </c>
      <c r="G26" s="7">
        <v>0.216</v>
      </c>
      <c r="H26" s="7">
        <v>0.214</v>
      </c>
      <c r="I26" s="7">
        <v>0.21199999999999999</v>
      </c>
      <c r="J26" s="8">
        <v>0.21</v>
      </c>
    </row>
    <row r="27" spans="1:10" x14ac:dyDescent="0.2">
      <c r="A27" t="s">
        <v>448</v>
      </c>
      <c r="B27" s="14">
        <v>23009</v>
      </c>
      <c r="C27" s="14">
        <v>24389</v>
      </c>
      <c r="D27" s="14">
        <v>28851</v>
      </c>
      <c r="E27" s="1">
        <v>32621</v>
      </c>
      <c r="F27" s="1">
        <v>37012</v>
      </c>
      <c r="G27" s="1">
        <v>41713</v>
      </c>
      <c r="H27" s="1">
        <v>46688</v>
      </c>
      <c r="I27" s="1">
        <v>51830</v>
      </c>
      <c r="J27" s="1">
        <v>53605</v>
      </c>
    </row>
    <row r="32" spans="1:10" ht="24" x14ac:dyDescent="0.3">
      <c r="A32" s="28" t="s">
        <v>467</v>
      </c>
    </row>
    <row r="35" spans="1:10" x14ac:dyDescent="0.2">
      <c r="A35" t="s">
        <v>473</v>
      </c>
      <c r="B35" t="s">
        <v>449</v>
      </c>
      <c r="C35" t="s">
        <v>450</v>
      </c>
      <c r="D35" t="s">
        <v>451</v>
      </c>
      <c r="E35" t="s">
        <v>452</v>
      </c>
      <c r="F35" t="s">
        <v>453</v>
      </c>
      <c r="G35" t="s">
        <v>454</v>
      </c>
      <c r="H35" t="s">
        <v>455</v>
      </c>
      <c r="I35" t="s">
        <v>456</v>
      </c>
      <c r="J35" t="s">
        <v>466</v>
      </c>
    </row>
    <row r="37" spans="1:10" x14ac:dyDescent="0.2">
      <c r="A37" s="31" t="s">
        <v>474</v>
      </c>
    </row>
    <row r="38" spans="1:10" x14ac:dyDescent="0.2">
      <c r="A38" t="s">
        <v>419</v>
      </c>
      <c r="B38" s="29">
        <f t="shared" ref="B38:J38" si="0">B23</f>
        <v>88523</v>
      </c>
      <c r="C38" s="29">
        <f t="shared" si="0"/>
        <v>109433</v>
      </c>
      <c r="D38" s="29">
        <f t="shared" si="0"/>
        <v>128528</v>
      </c>
      <c r="E38" s="29">
        <f t="shared" si="0"/>
        <v>148278</v>
      </c>
      <c r="F38" s="29">
        <f t="shared" si="0"/>
        <v>169781</v>
      </c>
      <c r="G38" s="29">
        <f t="shared" si="0"/>
        <v>193116</v>
      </c>
      <c r="H38" s="29">
        <f t="shared" si="0"/>
        <v>218168</v>
      </c>
      <c r="I38" s="29">
        <f t="shared" si="0"/>
        <v>244481</v>
      </c>
      <c r="J38" s="1">
        <f t="shared" si="0"/>
        <v>255260</v>
      </c>
    </row>
    <row r="39" spans="1:10" x14ac:dyDescent="0.2">
      <c r="A39" t="s">
        <v>462</v>
      </c>
      <c r="B39" s="29">
        <f t="shared" ref="B39:J39" si="1">B38*B26</f>
        <v>23015.98</v>
      </c>
      <c r="C39" s="29">
        <f t="shared" si="1"/>
        <v>24403.559000000001</v>
      </c>
      <c r="D39" s="29">
        <f t="shared" si="1"/>
        <v>28790.272000000001</v>
      </c>
      <c r="E39" s="29">
        <f t="shared" si="1"/>
        <v>32621.16</v>
      </c>
      <c r="F39" s="29">
        <f t="shared" si="1"/>
        <v>37012.258000000002</v>
      </c>
      <c r="G39" s="29">
        <f t="shared" si="1"/>
        <v>41713.055999999997</v>
      </c>
      <c r="H39" s="29">
        <f t="shared" si="1"/>
        <v>46687.951999999997</v>
      </c>
      <c r="I39" s="29">
        <f t="shared" si="1"/>
        <v>51829.972000000002</v>
      </c>
      <c r="J39" s="29">
        <f t="shared" si="1"/>
        <v>53604.6</v>
      </c>
    </row>
    <row r="40" spans="1:10" x14ac:dyDescent="0.2">
      <c r="A40" s="31" t="s">
        <v>469</v>
      </c>
      <c r="B40" s="29">
        <f>SUM(B38-B39)</f>
        <v>65507.020000000004</v>
      </c>
      <c r="C40" s="29">
        <f t="shared" ref="C40:I40" si="2">SUM(C38-C39)</f>
        <v>85029.440999999992</v>
      </c>
      <c r="D40" s="29">
        <f t="shared" si="2"/>
        <v>99737.728000000003</v>
      </c>
      <c r="E40" s="29">
        <f t="shared" si="2"/>
        <v>115656.84</v>
      </c>
      <c r="F40" s="29">
        <f t="shared" si="2"/>
        <v>132768.742</v>
      </c>
      <c r="G40" s="29">
        <f t="shared" si="2"/>
        <v>151402.94400000002</v>
      </c>
      <c r="H40" s="29">
        <f t="shared" si="2"/>
        <v>171480.04800000001</v>
      </c>
      <c r="I40" s="29">
        <f t="shared" si="2"/>
        <v>192651.02799999999</v>
      </c>
      <c r="J40" s="30">
        <f>SUM(J38-J39)</f>
        <v>201655.4</v>
      </c>
    </row>
    <row r="41" spans="1:10" x14ac:dyDescent="0.2">
      <c r="A41" t="s">
        <v>470</v>
      </c>
      <c r="B41" s="1">
        <f t="shared" ref="B41:J41" si="3">B22</f>
        <v>16617</v>
      </c>
      <c r="C41" s="1">
        <f t="shared" si="3"/>
        <v>23576</v>
      </c>
      <c r="D41" s="1">
        <f t="shared" si="3"/>
        <v>31637</v>
      </c>
      <c r="E41" s="1">
        <f t="shared" si="3"/>
        <v>37070</v>
      </c>
      <c r="F41" s="1">
        <f t="shared" si="3"/>
        <v>42413</v>
      </c>
      <c r="G41" s="1">
        <f t="shared" si="3"/>
        <v>46775</v>
      </c>
      <c r="H41" s="1">
        <f t="shared" si="3"/>
        <v>50373</v>
      </c>
      <c r="I41" s="1">
        <f t="shared" si="3"/>
        <v>53327</v>
      </c>
      <c r="J41" s="1">
        <f t="shared" si="3"/>
        <v>55460</v>
      </c>
    </row>
    <row r="42" spans="1:10" x14ac:dyDescent="0.2">
      <c r="A42" t="s">
        <v>471</v>
      </c>
      <c r="B42" s="23">
        <v>28107</v>
      </c>
      <c r="C42" s="23">
        <v>44477</v>
      </c>
      <c r="D42" s="22">
        <v>64551</v>
      </c>
      <c r="E42" s="1">
        <v>80689</v>
      </c>
      <c r="F42" s="1">
        <v>94407</v>
      </c>
      <c r="G42" s="1">
        <v>106680</v>
      </c>
      <c r="H42" s="1">
        <v>116282</v>
      </c>
      <c r="I42" s="1">
        <v>123258</v>
      </c>
      <c r="J42" s="1">
        <v>128188</v>
      </c>
    </row>
    <row r="43" spans="1:10" x14ac:dyDescent="0.2">
      <c r="A43" t="s">
        <v>472</v>
      </c>
      <c r="B43" s="23">
        <v>5506</v>
      </c>
      <c r="C43" s="23">
        <v>45660</v>
      </c>
      <c r="D43" s="22">
        <v>15465</v>
      </c>
      <c r="E43" s="1">
        <v>1972</v>
      </c>
      <c r="F43" s="1">
        <v>2088</v>
      </c>
      <c r="G43" s="1">
        <v>2178</v>
      </c>
      <c r="H43" s="1">
        <v>2236</v>
      </c>
      <c r="I43" s="1">
        <v>2259</v>
      </c>
      <c r="J43" s="1">
        <v>828</v>
      </c>
    </row>
    <row r="44" spans="1:10" x14ac:dyDescent="0.2">
      <c r="A44" s="31" t="s">
        <v>468</v>
      </c>
      <c r="B44" s="30">
        <f t="shared" ref="B44:J44" si="4">B40+B41-B42-B43</f>
        <v>48511.020000000004</v>
      </c>
      <c r="C44" s="30">
        <f t="shared" si="4"/>
        <v>18468.440999999992</v>
      </c>
      <c r="D44" s="30">
        <f t="shared" si="4"/>
        <v>51358.728000000003</v>
      </c>
      <c r="E44" s="30">
        <f t="shared" si="4"/>
        <v>70065.84</v>
      </c>
      <c r="F44" s="30">
        <f t="shared" si="4"/>
        <v>78686.741999999998</v>
      </c>
      <c r="G44" s="30">
        <f t="shared" si="4"/>
        <v>89319.944000000018</v>
      </c>
      <c r="H44" s="30">
        <f t="shared" si="4"/>
        <v>103335.04800000001</v>
      </c>
      <c r="I44" s="30">
        <f t="shared" si="4"/>
        <v>120461.02799999999</v>
      </c>
      <c r="J44" s="30">
        <f t="shared" si="4"/>
        <v>128099.4</v>
      </c>
    </row>
    <row r="47" spans="1:10" ht="24" x14ac:dyDescent="0.3">
      <c r="A47" s="4" t="s">
        <v>475</v>
      </c>
    </row>
    <row r="51" spans="1:7" x14ac:dyDescent="0.2">
      <c r="A51" t="s">
        <v>476</v>
      </c>
      <c r="B51" t="s">
        <v>452</v>
      </c>
      <c r="C51" t="s">
        <v>477</v>
      </c>
      <c r="D51" t="s">
        <v>478</v>
      </c>
      <c r="E51" t="s">
        <v>479</v>
      </c>
      <c r="F51" t="s">
        <v>456</v>
      </c>
      <c r="G51" t="s">
        <v>480</v>
      </c>
    </row>
    <row r="53" spans="1:7" x14ac:dyDescent="0.2">
      <c r="A53" t="s">
        <v>468</v>
      </c>
      <c r="B53" s="29">
        <f>E44</f>
        <v>70065.84</v>
      </c>
      <c r="C53" s="29">
        <f t="shared" ref="C53:F53" si="5">F44</f>
        <v>78686.741999999998</v>
      </c>
      <c r="D53" s="29">
        <f t="shared" si="5"/>
        <v>89319.944000000018</v>
      </c>
      <c r="E53" s="29">
        <f t="shared" si="5"/>
        <v>103335.04800000001</v>
      </c>
      <c r="F53" s="29">
        <f t="shared" si="5"/>
        <v>120461.02799999999</v>
      </c>
      <c r="G53" s="30">
        <f>J44</f>
        <v>128099.4</v>
      </c>
    </row>
    <row r="54" spans="1:7" x14ac:dyDescent="0.2">
      <c r="A54" t="s">
        <v>32</v>
      </c>
      <c r="B54" s="1">
        <f>E19</f>
        <v>185348</v>
      </c>
      <c r="C54" s="1">
        <f t="shared" ref="C54:G54" si="6">F19</f>
        <v>212194</v>
      </c>
      <c r="D54" s="1">
        <f t="shared" si="6"/>
        <v>239891</v>
      </c>
      <c r="E54" s="1">
        <f t="shared" si="6"/>
        <v>268541</v>
      </c>
      <c r="F54" s="1">
        <f t="shared" si="6"/>
        <v>297808</v>
      </c>
      <c r="G54" s="1">
        <f t="shared" si="6"/>
        <v>310720</v>
      </c>
    </row>
    <row r="56" spans="1:7" x14ac:dyDescent="0.2">
      <c r="A56" s="31" t="s">
        <v>481</v>
      </c>
    </row>
    <row r="57" spans="1:7" x14ac:dyDescent="0.2">
      <c r="A57" t="s">
        <v>482</v>
      </c>
      <c r="B57" s="30">
        <f>B53</f>
        <v>70065.84</v>
      </c>
      <c r="C57" s="30">
        <f t="shared" ref="C57:G57" si="7">C53</f>
        <v>78686.741999999998</v>
      </c>
      <c r="D57" s="30">
        <f t="shared" si="7"/>
        <v>89319.944000000018</v>
      </c>
      <c r="E57" s="30">
        <f t="shared" si="7"/>
        <v>103335.04800000001</v>
      </c>
      <c r="F57" s="30">
        <f t="shared" si="7"/>
        <v>120461.02799999999</v>
      </c>
      <c r="G57" s="30">
        <f t="shared" si="7"/>
        <v>128099.4</v>
      </c>
    </row>
    <row r="58" spans="1:7" x14ac:dyDescent="0.2">
      <c r="A58" t="s">
        <v>483</v>
      </c>
      <c r="B58" s="11" t="s">
        <v>485</v>
      </c>
      <c r="C58" s="11" t="s">
        <v>485</v>
      </c>
      <c r="D58" s="11" t="s">
        <v>485</v>
      </c>
      <c r="E58" s="11" t="s">
        <v>485</v>
      </c>
      <c r="F58" s="11" t="s">
        <v>485</v>
      </c>
      <c r="G58" s="14">
        <v>5437600</v>
      </c>
    </row>
    <row r="59" spans="1:7" x14ac:dyDescent="0.2">
      <c r="A59" s="31" t="s">
        <v>484</v>
      </c>
      <c r="B59" s="30">
        <f>B57</f>
        <v>70065.84</v>
      </c>
      <c r="C59" s="30">
        <f>C57</f>
        <v>78686.741999999998</v>
      </c>
      <c r="D59" s="30">
        <f>D57</f>
        <v>89319.944000000018</v>
      </c>
      <c r="E59" s="30">
        <f>E57</f>
        <v>103335.04800000001</v>
      </c>
      <c r="F59" s="30">
        <f>F57</f>
        <v>120461.02799999999</v>
      </c>
      <c r="G59" s="30">
        <f>G57+G58</f>
        <v>5565699.4000000004</v>
      </c>
    </row>
    <row r="62" spans="1:7" x14ac:dyDescent="0.2">
      <c r="A62" s="31" t="s">
        <v>486</v>
      </c>
    </row>
    <row r="63" spans="1:7" x14ac:dyDescent="0.2">
      <c r="A63" t="s">
        <v>487</v>
      </c>
      <c r="B63" s="32" t="s">
        <v>489</v>
      </c>
    </row>
    <row r="64" spans="1:7" x14ac:dyDescent="0.2">
      <c r="A64" t="s">
        <v>488</v>
      </c>
      <c r="B64" s="34">
        <v>8.5000000000000006E-2</v>
      </c>
    </row>
    <row r="65" spans="1:5" x14ac:dyDescent="0.2">
      <c r="B65" s="7"/>
    </row>
    <row r="67" spans="1:5" x14ac:dyDescent="0.2">
      <c r="A67" s="31"/>
    </row>
    <row r="68" spans="1:5" x14ac:dyDescent="0.2">
      <c r="A68" s="31" t="s">
        <v>490</v>
      </c>
    </row>
    <row r="69" spans="1:5" x14ac:dyDescent="0.2">
      <c r="A69" t="s">
        <v>491</v>
      </c>
      <c r="B69" s="29">
        <f>NPV(B64,B57,C57,D57,E57,F57)</f>
        <v>356022.95621806016</v>
      </c>
      <c r="C69" s="18">
        <v>0.09</v>
      </c>
    </row>
    <row r="70" spans="1:5" x14ac:dyDescent="0.2">
      <c r="A70" t="s">
        <v>492</v>
      </c>
      <c r="B70" s="29">
        <v>3616250.1</v>
      </c>
      <c r="C70" s="8">
        <v>0.91</v>
      </c>
    </row>
    <row r="71" spans="1:5" x14ac:dyDescent="0.2">
      <c r="A71" t="s">
        <v>352</v>
      </c>
      <c r="B71" s="29">
        <f>B70+B69</f>
        <v>3972273.0562180602</v>
      </c>
      <c r="C71" s="8">
        <v>1</v>
      </c>
    </row>
    <row r="75" spans="1:5" x14ac:dyDescent="0.2">
      <c r="A75" t="s">
        <v>494</v>
      </c>
    </row>
    <row r="76" spans="1:5" x14ac:dyDescent="0.2">
      <c r="A76" t="s">
        <v>352</v>
      </c>
      <c r="B76" s="30">
        <f t="shared" ref="B76" si="8">B71</f>
        <v>3972273.0562180602</v>
      </c>
      <c r="C76" s="29"/>
    </row>
    <row r="77" spans="1:5" x14ac:dyDescent="0.2">
      <c r="A77" t="s">
        <v>496</v>
      </c>
      <c r="B77" s="30">
        <v>12909</v>
      </c>
      <c r="C77" s="33"/>
    </row>
    <row r="78" spans="1:5" x14ac:dyDescent="0.2">
      <c r="A78" t="s">
        <v>493</v>
      </c>
      <c r="B78" s="30">
        <f>B76-B77</f>
        <v>3959364.0562180602</v>
      </c>
      <c r="C78" s="33"/>
    </row>
    <row r="80" spans="1:5" x14ac:dyDescent="0.2">
      <c r="E80" t="s">
        <v>603</v>
      </c>
    </row>
    <row r="82" spans="1:2" x14ac:dyDescent="0.2">
      <c r="A82" s="31" t="s">
        <v>497</v>
      </c>
    </row>
    <row r="83" spans="1:2" x14ac:dyDescent="0.2">
      <c r="A83" t="s">
        <v>493</v>
      </c>
      <c r="B83" s="30">
        <f t="shared" ref="B83" si="9">B78</f>
        <v>3959364.0562180602</v>
      </c>
    </row>
    <row r="84" spans="1:2" x14ac:dyDescent="0.2">
      <c r="A84" t="s">
        <v>12</v>
      </c>
      <c r="B84" s="30">
        <v>7430</v>
      </c>
    </row>
    <row r="85" spans="1:2" x14ac:dyDescent="0.2">
      <c r="A85" t="s">
        <v>497</v>
      </c>
      <c r="B85" s="30">
        <f>B83/B84</f>
        <v>532.8888366376932</v>
      </c>
    </row>
    <row r="89" spans="1:2" x14ac:dyDescent="0.2">
      <c r="A89" s="31" t="s">
        <v>498</v>
      </c>
    </row>
    <row r="90" spans="1:2" x14ac:dyDescent="0.2">
      <c r="A90" t="s">
        <v>497</v>
      </c>
      <c r="B90" s="30">
        <f t="shared" ref="B90" si="10">B85</f>
        <v>532.8888366376932</v>
      </c>
    </row>
    <row r="91" spans="1:2" x14ac:dyDescent="0.2">
      <c r="A91" t="s">
        <v>495</v>
      </c>
      <c r="B91" s="30">
        <v>483.16</v>
      </c>
    </row>
    <row r="92" spans="1:2" x14ac:dyDescent="0.2">
      <c r="A92" t="s">
        <v>498</v>
      </c>
      <c r="B92" s="7">
        <v>0.10299999999999999</v>
      </c>
    </row>
  </sheetData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356EC-1C98-5E4B-A411-204F4A048385}">
  <dimension ref="A1:K22"/>
  <sheetViews>
    <sheetView workbookViewId="0">
      <selection activeCell="B24" sqref="B24"/>
    </sheetView>
  </sheetViews>
  <sheetFormatPr baseColWidth="10" defaultRowHeight="16" x14ac:dyDescent="0.2"/>
  <cols>
    <col min="1" max="1" width="31.33203125" customWidth="1"/>
    <col min="2" max="2" width="21.5" customWidth="1"/>
    <col min="3" max="3" width="24" customWidth="1"/>
    <col min="4" max="4" width="20.33203125" customWidth="1"/>
    <col min="5" max="5" width="22.5" customWidth="1"/>
    <col min="6" max="6" width="30.83203125" customWidth="1"/>
    <col min="7" max="7" width="15.33203125" bestFit="1" customWidth="1"/>
    <col min="8" max="8" width="17.6640625" customWidth="1"/>
    <col min="9" max="9" width="14" customWidth="1"/>
    <col min="10" max="10" width="162.1640625" bestFit="1" customWidth="1"/>
    <col min="11" max="11" width="161" bestFit="1" customWidth="1"/>
  </cols>
  <sheetData>
    <row r="1" spans="1:11" x14ac:dyDescent="0.2">
      <c r="A1" t="s">
        <v>511</v>
      </c>
      <c r="B1" t="s">
        <v>512</v>
      </c>
      <c r="C1" t="s">
        <v>514</v>
      </c>
      <c r="D1" t="s">
        <v>513</v>
      </c>
      <c r="E1" t="s">
        <v>526</v>
      </c>
      <c r="F1" t="s">
        <v>527</v>
      </c>
      <c r="G1" t="s">
        <v>617</v>
      </c>
      <c r="H1" t="s">
        <v>517</v>
      </c>
      <c r="I1" t="s">
        <v>518</v>
      </c>
      <c r="J1" t="s">
        <v>515</v>
      </c>
      <c r="K1" t="s">
        <v>516</v>
      </c>
    </row>
    <row r="2" spans="1:11" x14ac:dyDescent="0.2">
      <c r="A2" t="s">
        <v>519</v>
      </c>
      <c r="B2" s="15" t="s">
        <v>528</v>
      </c>
      <c r="C2" s="15" t="s">
        <v>548</v>
      </c>
      <c r="D2" s="35">
        <v>6.3E-2</v>
      </c>
      <c r="E2" s="15" t="s">
        <v>529</v>
      </c>
      <c r="F2" s="15" t="s">
        <v>530</v>
      </c>
      <c r="G2" s="15" t="s">
        <v>531</v>
      </c>
      <c r="H2" s="15" t="s">
        <v>549</v>
      </c>
      <c r="I2" s="35">
        <v>1.6E-2</v>
      </c>
      <c r="J2" s="11" t="s">
        <v>618</v>
      </c>
      <c r="K2" s="15" t="s">
        <v>539</v>
      </c>
    </row>
    <row r="3" spans="1:11" x14ac:dyDescent="0.2">
      <c r="A3" t="s">
        <v>520</v>
      </c>
      <c r="B3" s="15" t="s">
        <v>534</v>
      </c>
      <c r="C3" s="15" t="s">
        <v>550</v>
      </c>
      <c r="D3" s="36">
        <f>-37.2%</f>
        <v>-0.37200000000000005</v>
      </c>
      <c r="E3" s="15" t="s">
        <v>536</v>
      </c>
      <c r="F3" s="15" t="s">
        <v>537</v>
      </c>
      <c r="G3" s="15" t="s">
        <v>538</v>
      </c>
      <c r="H3" s="15" t="s">
        <v>619</v>
      </c>
      <c r="I3" s="36">
        <v>-0.69299999999999995</v>
      </c>
      <c r="J3" s="15" t="str">
        <f>J2</f>
        <v>Comprehensive health programmes. Employee Discounts. Pension Scheme. Employee Stock Purchase Plan. Discount on MSFT shares. Annual performance bonus. Deferred compensation plan.</v>
      </c>
      <c r="K3" s="15" t="s">
        <v>539</v>
      </c>
    </row>
    <row r="4" spans="1:11" x14ac:dyDescent="0.2">
      <c r="A4" t="s">
        <v>521</v>
      </c>
      <c r="B4" s="15" t="s">
        <v>551</v>
      </c>
      <c r="C4" s="15" t="s">
        <v>555</v>
      </c>
      <c r="D4" s="35">
        <v>2.1000000000000001E-2</v>
      </c>
      <c r="E4" s="15" t="s">
        <v>552</v>
      </c>
      <c r="F4" s="15" t="s">
        <v>553</v>
      </c>
      <c r="G4" s="15" t="s">
        <v>554</v>
      </c>
      <c r="H4" s="15" t="s">
        <v>556</v>
      </c>
      <c r="I4" s="35">
        <f>-1%</f>
        <v>-0.01</v>
      </c>
      <c r="J4" s="15" t="str">
        <f t="shared" ref="J4:J11" si="0">J3</f>
        <v>Comprehensive health programmes. Employee Discounts. Pension Scheme. Employee Stock Purchase Plan. Discount on MSFT shares. Annual performance bonus. Deferred compensation plan.</v>
      </c>
      <c r="K4" s="15" t="s">
        <v>539</v>
      </c>
    </row>
    <row r="5" spans="1:11" x14ac:dyDescent="0.2">
      <c r="A5" t="s">
        <v>542</v>
      </c>
      <c r="B5" s="15" t="s">
        <v>559</v>
      </c>
      <c r="C5" s="15" t="s">
        <v>557</v>
      </c>
      <c r="D5" s="36">
        <v>-4.3999999999999997E-2</v>
      </c>
      <c r="E5" s="15" t="s">
        <v>560</v>
      </c>
      <c r="F5" s="15" t="s">
        <v>561</v>
      </c>
      <c r="G5" s="15" t="s">
        <v>562</v>
      </c>
      <c r="H5" s="15" t="s">
        <v>558</v>
      </c>
      <c r="I5" s="36">
        <f>-11.9%</f>
        <v>-0.11900000000000001</v>
      </c>
      <c r="J5" s="15" t="str">
        <f t="shared" si="0"/>
        <v>Comprehensive health programmes. Employee Discounts. Pension Scheme. Employee Stock Purchase Plan. Discount on MSFT shares. Annual performance bonus. Deferred compensation plan.</v>
      </c>
      <c r="K5" s="15" t="s">
        <v>539</v>
      </c>
    </row>
    <row r="6" spans="1:11" x14ac:dyDescent="0.2">
      <c r="A6" t="s">
        <v>522</v>
      </c>
      <c r="B6" s="15" t="s">
        <v>546</v>
      </c>
      <c r="C6" s="15" t="s">
        <v>563</v>
      </c>
      <c r="D6" s="35">
        <v>-0.19700000000000001</v>
      </c>
      <c r="E6" s="15" t="s">
        <v>543</v>
      </c>
      <c r="F6" s="15" t="s">
        <v>544</v>
      </c>
      <c r="G6" s="15" t="s">
        <v>545</v>
      </c>
      <c r="H6" s="15" t="s">
        <v>564</v>
      </c>
      <c r="I6" s="35">
        <v>-0.47799999999999998</v>
      </c>
      <c r="J6" s="15" t="str">
        <f t="shared" si="0"/>
        <v>Comprehensive health programmes. Employee Discounts. Pension Scheme. Employee Stock Purchase Plan. Discount on MSFT shares. Annual performance bonus. Deferred compensation plan.</v>
      </c>
      <c r="K6" s="15" t="s">
        <v>539</v>
      </c>
    </row>
    <row r="7" spans="1:11" x14ac:dyDescent="0.2">
      <c r="A7" t="s">
        <v>523</v>
      </c>
      <c r="B7" s="15" t="s">
        <v>565</v>
      </c>
      <c r="C7" s="15" t="s">
        <v>567</v>
      </c>
      <c r="D7" s="35">
        <v>-0.20200000000000001</v>
      </c>
      <c r="E7" s="15" t="s">
        <v>568</v>
      </c>
      <c r="F7" s="15" t="s">
        <v>569</v>
      </c>
      <c r="G7" s="15" t="s">
        <v>566</v>
      </c>
      <c r="H7" s="15" t="s">
        <v>570</v>
      </c>
      <c r="I7" s="35">
        <v>-0.248</v>
      </c>
      <c r="J7" s="15" t="str">
        <f t="shared" si="0"/>
        <v>Comprehensive health programmes. Employee Discounts. Pension Scheme. Employee Stock Purchase Plan. Discount on MSFT shares. Annual performance bonus. Deferred compensation plan.</v>
      </c>
      <c r="K7" s="15" t="s">
        <v>539</v>
      </c>
    </row>
    <row r="8" spans="1:11" x14ac:dyDescent="0.2">
      <c r="A8" t="s">
        <v>524</v>
      </c>
      <c r="B8" s="15" t="s">
        <v>571</v>
      </c>
      <c r="C8" s="15" t="s">
        <v>572</v>
      </c>
      <c r="D8" s="35">
        <v>2.9000000000000001E-2</v>
      </c>
      <c r="E8" s="15" t="s">
        <v>573</v>
      </c>
      <c r="F8" s="15" t="s">
        <v>574</v>
      </c>
      <c r="G8" s="15" t="s">
        <v>575</v>
      </c>
      <c r="H8" s="15" t="s">
        <v>576</v>
      </c>
      <c r="I8" s="35">
        <v>1.4999999999999999E-2</v>
      </c>
      <c r="J8" s="15" t="str">
        <f t="shared" si="0"/>
        <v>Comprehensive health programmes. Employee Discounts. Pension Scheme. Employee Stock Purchase Plan. Discount on MSFT shares. Annual performance bonus. Deferred compensation plan.</v>
      </c>
      <c r="K8" s="15" t="s">
        <v>539</v>
      </c>
    </row>
    <row r="9" spans="1:11" x14ac:dyDescent="0.2">
      <c r="A9" t="s">
        <v>525</v>
      </c>
      <c r="B9" s="15" t="s">
        <v>577</v>
      </c>
      <c r="C9" s="15" t="s">
        <v>580</v>
      </c>
      <c r="D9" s="35">
        <v>-5.8999999999999997E-2</v>
      </c>
      <c r="E9" s="15" t="s">
        <v>573</v>
      </c>
      <c r="F9" s="15" t="s">
        <v>578</v>
      </c>
      <c r="G9" s="15" t="s">
        <v>579</v>
      </c>
      <c r="H9" s="15" t="s">
        <v>581</v>
      </c>
      <c r="I9" s="35">
        <v>-9.1999999999999998E-2</v>
      </c>
      <c r="J9" s="15" t="str">
        <f t="shared" si="0"/>
        <v>Comprehensive health programmes. Employee Discounts. Pension Scheme. Employee Stock Purchase Plan. Discount on MSFT shares. Annual performance bonus. Deferred compensation plan.</v>
      </c>
      <c r="K9" s="15" t="s">
        <v>539</v>
      </c>
    </row>
    <row r="10" spans="1:11" x14ac:dyDescent="0.2">
      <c r="A10" t="s">
        <v>582</v>
      </c>
      <c r="B10" s="15" t="s">
        <v>583</v>
      </c>
      <c r="C10" s="15" t="s">
        <v>587</v>
      </c>
      <c r="D10" s="35">
        <v>-0.249</v>
      </c>
      <c r="E10" s="15" t="s">
        <v>584</v>
      </c>
      <c r="F10" s="15" t="s">
        <v>585</v>
      </c>
      <c r="G10" s="15" t="s">
        <v>586</v>
      </c>
      <c r="H10" s="15" t="s">
        <v>588</v>
      </c>
      <c r="I10" s="35">
        <v>-0.193</v>
      </c>
      <c r="J10" s="15" t="str">
        <f t="shared" si="0"/>
        <v>Comprehensive health programmes. Employee Discounts. Pension Scheme. Employee Stock Purchase Plan. Discount on MSFT shares. Annual performance bonus. Deferred compensation plan.</v>
      </c>
      <c r="K10" s="15" t="s">
        <v>539</v>
      </c>
    </row>
    <row r="11" spans="1:11" x14ac:dyDescent="0.2">
      <c r="A11" t="s">
        <v>589</v>
      </c>
      <c r="B11" s="15" t="s">
        <v>590</v>
      </c>
      <c r="C11" s="15" t="s">
        <v>594</v>
      </c>
      <c r="D11" s="35">
        <v>-0.11899999999999999</v>
      </c>
      <c r="E11" s="15" t="s">
        <v>591</v>
      </c>
      <c r="F11" s="15" t="s">
        <v>592</v>
      </c>
      <c r="G11" s="15" t="s">
        <v>593</v>
      </c>
      <c r="H11" s="15" t="s">
        <v>595</v>
      </c>
      <c r="I11" s="35">
        <v>-5.1999999999999998E-2</v>
      </c>
      <c r="J11" s="15" t="str">
        <f t="shared" si="0"/>
        <v>Comprehensive health programmes. Employee Discounts. Pension Scheme. Employee Stock Purchase Plan. Discount on MSFT shares. Annual performance bonus. Deferred compensation plan.</v>
      </c>
      <c r="K11" s="15" t="s">
        <v>539</v>
      </c>
    </row>
    <row r="12" spans="1:11" x14ac:dyDescent="0.2">
      <c r="A12" t="s">
        <v>596</v>
      </c>
      <c r="B12" s="15" t="s">
        <v>598</v>
      </c>
      <c r="C12" s="15" t="s">
        <v>601</v>
      </c>
      <c r="D12" s="35">
        <v>-0.157</v>
      </c>
      <c r="E12" s="15" t="s">
        <v>597</v>
      </c>
      <c r="F12" s="15" t="s">
        <v>599</v>
      </c>
      <c r="G12" s="15" t="s">
        <v>600</v>
      </c>
      <c r="H12" s="15" t="s">
        <v>602</v>
      </c>
      <c r="I12" s="35">
        <v>-0.24099999999999999</v>
      </c>
      <c r="J12" s="15" t="str">
        <f>J11</f>
        <v>Comprehensive health programmes. Employee Discounts. Pension Scheme. Employee Stock Purchase Plan. Discount on MSFT shares. Annual performance bonus. Deferred compensation plan.</v>
      </c>
      <c r="K12" s="15" t="s">
        <v>539</v>
      </c>
    </row>
    <row r="13" spans="1:11" x14ac:dyDescent="0.2">
      <c r="B13" s="15"/>
      <c r="C13" s="15"/>
      <c r="D13" s="15"/>
      <c r="E13" s="15"/>
      <c r="F13" s="15"/>
      <c r="G13" s="15"/>
      <c r="H13" s="15"/>
      <c r="I13" s="15"/>
    </row>
    <row r="14" spans="1:11" x14ac:dyDescent="0.2">
      <c r="B14" s="15"/>
      <c r="C14" s="15"/>
      <c r="D14" s="15"/>
      <c r="E14" s="15"/>
      <c r="F14" s="15"/>
      <c r="G14" s="15"/>
      <c r="H14" s="15"/>
      <c r="I14" s="15"/>
    </row>
    <row r="15" spans="1:11" x14ac:dyDescent="0.2">
      <c r="B15" s="11"/>
      <c r="C15" s="11"/>
      <c r="D15" s="11"/>
      <c r="E15" s="11"/>
      <c r="F15" s="11"/>
      <c r="G15" s="11"/>
      <c r="H15" s="11"/>
      <c r="I15" s="11"/>
    </row>
    <row r="16" spans="1:11" x14ac:dyDescent="0.2">
      <c r="A16" t="s">
        <v>532</v>
      </c>
    </row>
    <row r="17" spans="1:1" x14ac:dyDescent="0.2">
      <c r="A17" t="s">
        <v>533</v>
      </c>
    </row>
    <row r="18" spans="1:1" x14ac:dyDescent="0.2">
      <c r="A18" t="s">
        <v>535</v>
      </c>
    </row>
    <row r="19" spans="1:1" x14ac:dyDescent="0.2">
      <c r="A19" t="s">
        <v>541</v>
      </c>
    </row>
    <row r="20" spans="1:1" x14ac:dyDescent="0.2">
      <c r="A20" t="s">
        <v>540</v>
      </c>
    </row>
    <row r="21" spans="1:1" x14ac:dyDescent="0.2">
      <c r="A21" t="s">
        <v>620</v>
      </c>
    </row>
    <row r="22" spans="1:1" x14ac:dyDescent="0.2">
      <c r="A22" t="s">
        <v>547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C1423-A738-464E-AD73-3E3C038DBDFF}">
  <dimension ref="A1:G13"/>
  <sheetViews>
    <sheetView tabSelected="1" workbookViewId="0">
      <selection activeCell="C19" sqref="C19"/>
    </sheetView>
  </sheetViews>
  <sheetFormatPr baseColWidth="10" defaultRowHeight="16" x14ac:dyDescent="0.2"/>
  <cols>
    <col min="1" max="1" width="28.33203125" bestFit="1" customWidth="1"/>
  </cols>
  <sheetData>
    <row r="1" spans="1:7" x14ac:dyDescent="0.2">
      <c r="A1" t="s">
        <v>0</v>
      </c>
      <c r="B1" t="s">
        <v>5</v>
      </c>
      <c r="C1" t="s">
        <v>500</v>
      </c>
      <c r="D1" t="s">
        <v>501</v>
      </c>
      <c r="E1" t="s">
        <v>502</v>
      </c>
      <c r="F1" t="s">
        <v>503</v>
      </c>
      <c r="G1" t="s">
        <v>504</v>
      </c>
    </row>
    <row r="3" spans="1:7" x14ac:dyDescent="0.2">
      <c r="A3" t="s">
        <v>505</v>
      </c>
      <c r="B3">
        <v>34.99</v>
      </c>
      <c r="C3">
        <v>31.3</v>
      </c>
      <c r="D3">
        <v>32.19</v>
      </c>
      <c r="E3">
        <v>37.159999999999997</v>
      </c>
      <c r="F3">
        <v>51.28</v>
      </c>
      <c r="G3">
        <v>34.99</v>
      </c>
    </row>
    <row r="4" spans="1:7" x14ac:dyDescent="0.2">
      <c r="A4" t="s">
        <v>28</v>
      </c>
      <c r="B4">
        <v>30.96</v>
      </c>
      <c r="C4">
        <v>28.49</v>
      </c>
      <c r="D4">
        <v>27.78</v>
      </c>
      <c r="E4">
        <v>33.44</v>
      </c>
      <c r="F4">
        <v>32.36</v>
      </c>
      <c r="G4">
        <v>30.96</v>
      </c>
    </row>
    <row r="5" spans="1:7" x14ac:dyDescent="0.2">
      <c r="A5" t="s">
        <v>298</v>
      </c>
      <c r="B5">
        <v>21.27</v>
      </c>
      <c r="C5">
        <v>21.92</v>
      </c>
      <c r="D5">
        <v>15.77</v>
      </c>
      <c r="E5">
        <v>28.6</v>
      </c>
      <c r="F5">
        <v>29.52</v>
      </c>
      <c r="G5">
        <v>21.92</v>
      </c>
    </row>
    <row r="6" spans="1:7" x14ac:dyDescent="0.2">
      <c r="A6" t="s">
        <v>506</v>
      </c>
      <c r="B6">
        <v>12.31</v>
      </c>
      <c r="C6">
        <v>9.77</v>
      </c>
      <c r="D6">
        <v>3.58</v>
      </c>
      <c r="E6">
        <v>9.9499999999999993</v>
      </c>
      <c r="F6">
        <v>12.3</v>
      </c>
      <c r="G6">
        <v>9.9499999999999993</v>
      </c>
    </row>
    <row r="7" spans="1:7" x14ac:dyDescent="0.2">
      <c r="A7" t="s">
        <v>29</v>
      </c>
      <c r="B7">
        <v>46.9</v>
      </c>
      <c r="C7">
        <v>52.1</v>
      </c>
      <c r="E7">
        <v>41.5</v>
      </c>
      <c r="G7">
        <v>46.9</v>
      </c>
    </row>
    <row r="8" spans="1:7" x14ac:dyDescent="0.2">
      <c r="A8" t="s">
        <v>508</v>
      </c>
      <c r="B8" s="7">
        <v>0.184</v>
      </c>
      <c r="C8" s="7">
        <v>0.159</v>
      </c>
      <c r="D8" s="7">
        <v>0.13400000000000001</v>
      </c>
      <c r="E8" s="7">
        <v>7.9000000000000001E-2</v>
      </c>
      <c r="F8" s="7">
        <v>0.122</v>
      </c>
      <c r="G8" s="7">
        <v>0.13400000000000001</v>
      </c>
    </row>
    <row r="9" spans="1:7" x14ac:dyDescent="0.2">
      <c r="A9" t="s">
        <v>509</v>
      </c>
      <c r="B9" s="7">
        <v>0.48870000000000002</v>
      </c>
      <c r="C9" s="7">
        <v>0.30509999999999998</v>
      </c>
      <c r="D9" s="7">
        <v>0.1106</v>
      </c>
      <c r="E9" s="7">
        <v>0.3165</v>
      </c>
      <c r="F9" s="7">
        <v>0.31380000000000002</v>
      </c>
      <c r="G9" s="7">
        <v>0.31830000000000003</v>
      </c>
    </row>
    <row r="12" spans="1:7" x14ac:dyDescent="0.2">
      <c r="B12" t="s">
        <v>507</v>
      </c>
    </row>
    <row r="13" spans="1:7" x14ac:dyDescent="0.2">
      <c r="B13" t="s">
        <v>510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Company Information</vt:lpstr>
      <vt:lpstr>Executive Summary</vt:lpstr>
      <vt:lpstr>Financial Statements</vt:lpstr>
      <vt:lpstr>Key Financial Ratios &amp; Metrics</vt:lpstr>
      <vt:lpstr>Growth Rate &amp; Projections</vt:lpstr>
      <vt:lpstr>DCF</vt:lpstr>
      <vt:lpstr>Pay Benchmarking</vt:lpstr>
      <vt:lpstr>Comparable Companies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Omarkhil, Omid</dc:creator>
  <cp:lastModifiedBy>Omarkhil, Omid</cp:lastModifiedBy>
  <dcterms:created xsi:type="dcterms:W3CDTF">2025-12-05T20:48:52Z</dcterms:created>
  <dcterms:modified xsi:type="dcterms:W3CDTF">2025-12-15T19:50:36Z</dcterms:modified>
</cp:coreProperties>
</file>